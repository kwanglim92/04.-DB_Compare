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pare\Desktop\"/>
    </mc:Choice>
  </mc:AlternateContent>
  <xr:revisionPtr revIDLastSave="0" documentId="13_ncr:1_{0119DC5B-6A7D-4D4A-87B4-57E1116D604F}" xr6:coauthVersionLast="47" xr6:coauthVersionMax="47" xr10:uidLastSave="{00000000-0000-0000-0000-000000000000}"/>
  <bookViews>
    <workbookView xWindow="-120" yWindow="-120" windowWidth="29040" windowHeight="15720" tabRatio="500" activeTab="1" xr2:uid="{00000000-000D-0000-FFFF-FFFF00000000}"/>
  </bookViews>
  <sheets>
    <sheet name="표지" sheetId="1" r:id="rId1"/>
    <sheet name="통합_(NX-Wafer 200mm)" sheetId="2" r:id="rId2"/>
    <sheet name="Last" sheetId="3" r:id="rId3"/>
  </sheets>
  <definedNames>
    <definedName name="_1._Auto_Defect_Inspection_Test">#REF!</definedName>
    <definedName name="_1._External_Inspection">#REF!</definedName>
    <definedName name="_1._MFM_Test">#REF!</definedName>
    <definedName name="_1._System_Misc.">#REF!</definedName>
    <definedName name="_1_1._XY_Detector_Calibration__Large">#REF!</definedName>
    <definedName name="_1_1._Z_Scanner_Calibration__Large">#REF!</definedName>
    <definedName name="_1_2._XY_Detector_Calibration__Medium">#REF!</definedName>
    <definedName name="_1_2._Z_Scanner_Calibration__Small">#REF!</definedName>
    <definedName name="_2._Assembly_Inspection.">#REF!</definedName>
    <definedName name="_2._Optical_axis_shift_test">#REF!</definedName>
    <definedName name="_2._XY_Scanner_Calibration_check">#REF!</definedName>
    <definedName name="_2._Z_Detector_calibration">#REF!</definedName>
    <definedName name="_3._Controller_Check">#REF!</definedName>
    <definedName name="_3._Illumination_stength_check">#REF!</definedName>
    <definedName name="_3._Z_Detector_noise_check">#REF!</definedName>
    <definedName name="_3_1.__XY_Detector_noise_check__Large">#REF!</definedName>
    <definedName name="_3_2.__XY_Detector_noise_check__Medium">#REF!</definedName>
    <definedName name="_4._Check_Computer_configurations_and_Program">#REF!</definedName>
    <definedName name="_4._Z_Linearity">#REF!</definedName>
    <definedName name="_4_1._OPM_Out_of_Plane_Motion__check__Center">#REF!</definedName>
    <definedName name="_4_2._OPM_Out_of_Plane_Motion__check__Position">#REF!</definedName>
    <definedName name="_5._XY_linearity_test">#REF!</definedName>
    <definedName name="_5_1._Zero_scan_test__mode">#REF!</definedName>
    <definedName name="_5_2._Zero_scan_test___position">#REF!</definedName>
    <definedName name="_5_3._Zero_scan_test___long_term">#REF!</definedName>
    <definedName name="_6._Head_Misc.">#REF!</definedName>
    <definedName name="asd">#REF!</definedName>
    <definedName name="d">#REF!</definedName>
    <definedName name="_xlnm.Print_Area" localSheetId="2">Last!$A$1:$AA$52</definedName>
    <definedName name="_xlnm.Print_Area" localSheetId="1">'통합_(NX-Wafer 200mm)'!$A$1:$I$412</definedName>
    <definedName name="_xlnm.Print_Area" localSheetId="0">표지!$A$1:$X$43</definedName>
    <definedName name="_xlnm.Print_Titles" localSheetId="1">'통합_(NX-Wafer 200mm)'!$1:$1</definedName>
    <definedName name="S">#REF!</definedName>
    <definedName name="Sp">#REF!</definedName>
    <definedName name="SpareProfiler">#REF!</definedName>
    <definedName name="SpP">#REF!</definedName>
    <definedName name="SPpPSp">#REF!</definedName>
    <definedName name="SpSp">#REF!</definedName>
    <definedName name="SpSpSS">#REF!</definedName>
    <definedName name="SPSS">#REF!</definedName>
    <definedName name="WLI">#REF!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267" i="3" l="1"/>
  <c r="J266" i="3"/>
  <c r="J263" i="3"/>
  <c r="J262" i="3"/>
  <c r="J261" i="3"/>
  <c r="J260" i="3"/>
  <c r="J259" i="3"/>
  <c r="J258" i="3"/>
  <c r="J257" i="3"/>
  <c r="J256" i="3"/>
  <c r="J255" i="3"/>
  <c r="J254" i="3"/>
  <c r="J253" i="3"/>
  <c r="J252" i="3"/>
  <c r="J251" i="3"/>
  <c r="J250" i="3"/>
  <c r="J249" i="3"/>
  <c r="J247" i="3"/>
  <c r="J246" i="3"/>
  <c r="J195" i="3"/>
  <c r="J194" i="3"/>
  <c r="J193" i="3"/>
  <c r="J192" i="3"/>
  <c r="J191" i="3"/>
  <c r="J188" i="3"/>
  <c r="J187" i="3"/>
  <c r="J186" i="3"/>
  <c r="J185" i="3"/>
  <c r="J184" i="3"/>
  <c r="J183" i="3"/>
  <c r="J182" i="3"/>
  <c r="J181" i="3"/>
  <c r="J180" i="3"/>
  <c r="J179" i="3"/>
  <c r="J178" i="3"/>
  <c r="J177" i="3"/>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I411" i="2"/>
  <c r="A411" i="2"/>
  <c r="I410" i="2"/>
  <c r="A410" i="2"/>
  <c r="I409" i="2"/>
  <c r="A409" i="2"/>
  <c r="I408" i="2"/>
  <c r="A408" i="2"/>
  <c r="I407" i="2"/>
  <c r="A407" i="2"/>
  <c r="I406" i="2"/>
  <c r="A406" i="2"/>
  <c r="I405" i="2"/>
  <c r="A405" i="2"/>
  <c r="I404" i="2"/>
  <c r="A404" i="2"/>
  <c r="I403" i="2"/>
  <c r="A403" i="2"/>
  <c r="I402" i="2"/>
  <c r="A402" i="2"/>
  <c r="I401" i="2"/>
  <c r="A401" i="2"/>
  <c r="I400" i="2"/>
  <c r="A400" i="2"/>
  <c r="I399" i="2"/>
  <c r="A399" i="2"/>
  <c r="I398" i="2"/>
  <c r="A398" i="2"/>
  <c r="I397" i="2"/>
  <c r="A397" i="2"/>
  <c r="I396" i="2"/>
  <c r="A396" i="2"/>
  <c r="I395" i="2"/>
  <c r="A395" i="2"/>
  <c r="I394" i="2"/>
  <c r="A394" i="2"/>
  <c r="I393" i="2"/>
  <c r="A393" i="2"/>
  <c r="I392" i="2"/>
  <c r="A392" i="2"/>
  <c r="A391" i="2"/>
  <c r="A390" i="2"/>
  <c r="A389" i="2"/>
  <c r="I388" i="2"/>
  <c r="A388" i="2"/>
  <c r="I387" i="2"/>
  <c r="A387" i="2"/>
  <c r="I386" i="2"/>
  <c r="A386" i="2"/>
  <c r="I385" i="2"/>
  <c r="A385" i="2"/>
  <c r="I384" i="2"/>
  <c r="A384" i="2"/>
  <c r="A383" i="2"/>
  <c r="A382" i="2"/>
  <c r="I381" i="2"/>
  <c r="A381" i="2"/>
  <c r="I380" i="2"/>
  <c r="A380" i="2"/>
  <c r="I379" i="2"/>
  <c r="A379" i="2"/>
  <c r="I378" i="2"/>
  <c r="A378" i="2"/>
  <c r="I377" i="2"/>
  <c r="A377" i="2"/>
  <c r="I376" i="2"/>
  <c r="A376" i="2"/>
  <c r="I375" i="2"/>
  <c r="A375" i="2"/>
  <c r="I374" i="2"/>
  <c r="A374" i="2"/>
  <c r="I373" i="2"/>
  <c r="A373" i="2"/>
  <c r="I372" i="2"/>
  <c r="A372" i="2"/>
  <c r="I371" i="2"/>
  <c r="A371" i="2"/>
  <c r="I370" i="2"/>
  <c r="A370" i="2"/>
  <c r="I369" i="2"/>
  <c r="A369" i="2"/>
  <c r="I368" i="2"/>
  <c r="A368" i="2"/>
  <c r="I367" i="2"/>
  <c r="A367" i="2"/>
  <c r="I366" i="2"/>
  <c r="A366" i="2"/>
  <c r="I365" i="2"/>
  <c r="A365" i="2"/>
  <c r="I364" i="2"/>
  <c r="A364" i="2"/>
  <c r="I363" i="2"/>
  <c r="A363" i="2"/>
  <c r="I362" i="2"/>
  <c r="A362" i="2"/>
  <c r="I361" i="2"/>
  <c r="A361" i="2"/>
  <c r="A360" i="2"/>
  <c r="I359" i="2"/>
  <c r="A359" i="2"/>
  <c r="I358" i="2"/>
  <c r="A358" i="2"/>
  <c r="I357" i="2"/>
  <c r="A357" i="2"/>
  <c r="I356" i="2"/>
  <c r="A356" i="2"/>
  <c r="I355" i="2"/>
  <c r="A355" i="2"/>
  <c r="I354" i="2"/>
  <c r="A354" i="2"/>
  <c r="A353" i="2"/>
  <c r="A352" i="2"/>
  <c r="I351" i="2"/>
  <c r="A351"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I322" i="2"/>
  <c r="A322" i="2"/>
  <c r="I321" i="2"/>
  <c r="A321" i="2"/>
  <c r="I320" i="2"/>
  <c r="A320" i="2"/>
  <c r="I319" i="2"/>
  <c r="A319" i="2"/>
  <c r="I318" i="2"/>
  <c r="A318" i="2"/>
  <c r="I317" i="2"/>
  <c r="A317" i="2"/>
  <c r="I316" i="2"/>
  <c r="A316" i="2"/>
  <c r="I315" i="2"/>
  <c r="A315" i="2"/>
  <c r="I314" i="2"/>
  <c r="A314" i="2"/>
  <c r="I313" i="2"/>
  <c r="A313" i="2"/>
  <c r="I312" i="2"/>
  <c r="A312" i="2"/>
  <c r="I311" i="2"/>
  <c r="A311" i="2"/>
  <c r="I310" i="2"/>
  <c r="A310" i="2"/>
  <c r="A309" i="2"/>
  <c r="I308" i="2"/>
  <c r="A308" i="2"/>
  <c r="I307" i="2"/>
  <c r="A307" i="2"/>
  <c r="I306" i="2"/>
  <c r="A306" i="2"/>
  <c r="I305" i="2"/>
  <c r="A305" i="2"/>
  <c r="I304" i="2"/>
  <c r="A304" i="2"/>
  <c r="I303" i="2"/>
  <c r="A303" i="2"/>
  <c r="I302" i="2"/>
  <c r="A302" i="2"/>
  <c r="I301" i="2"/>
  <c r="A301" i="2"/>
  <c r="I300" i="2"/>
  <c r="A300" i="2"/>
  <c r="I299" i="2"/>
  <c r="A299" i="2"/>
  <c r="I298" i="2"/>
  <c r="A298" i="2"/>
  <c r="I297" i="2"/>
  <c r="A297" i="2"/>
  <c r="I296" i="2"/>
  <c r="A296" i="2"/>
  <c r="I295" i="2"/>
  <c r="A295" i="2"/>
  <c r="I294" i="2"/>
  <c r="A294" i="2"/>
  <c r="G293" i="2"/>
  <c r="I293" i="2" s="1"/>
  <c r="A293" i="2"/>
  <c r="I292" i="2"/>
  <c r="A292" i="2"/>
  <c r="I291" i="2"/>
  <c r="A291" i="2"/>
  <c r="G290" i="2"/>
  <c r="I290" i="2" s="1"/>
  <c r="A290" i="2"/>
  <c r="A289" i="2"/>
  <c r="A288" i="2"/>
  <c r="I287" i="2"/>
  <c r="A287" i="2"/>
  <c r="I286" i="2"/>
  <c r="A286" i="2"/>
  <c r="I285" i="2"/>
  <c r="A285" i="2"/>
  <c r="I284" i="2"/>
  <c r="A284" i="2"/>
  <c r="I283" i="2"/>
  <c r="A283" i="2"/>
  <c r="I282" i="2"/>
  <c r="A282" i="2"/>
  <c r="I281" i="2"/>
  <c r="A281" i="2"/>
  <c r="I280" i="2"/>
  <c r="A280" i="2"/>
  <c r="I279" i="2"/>
  <c r="A279" i="2"/>
  <c r="I278" i="2"/>
  <c r="A278" i="2"/>
  <c r="I277" i="2"/>
  <c r="A277" i="2"/>
  <c r="I276" i="2"/>
  <c r="A276" i="2"/>
  <c r="I275" i="2"/>
  <c r="A275" i="2"/>
  <c r="I274" i="2"/>
  <c r="A274" i="2"/>
  <c r="I273" i="2"/>
  <c r="A273" i="2"/>
  <c r="I272" i="2"/>
  <c r="A272" i="2"/>
  <c r="I271" i="2"/>
  <c r="A271" i="2"/>
  <c r="I270" i="2"/>
  <c r="A270" i="2"/>
  <c r="I269" i="2"/>
  <c r="A269" i="2"/>
  <c r="I268" i="2"/>
  <c r="A268" i="2"/>
  <c r="I267" i="2"/>
  <c r="A267" i="2"/>
  <c r="I266" i="2"/>
  <c r="A266" i="2"/>
  <c r="I265" i="2"/>
  <c r="A265" i="2"/>
  <c r="I264" i="2"/>
  <c r="A264" i="2"/>
  <c r="I263" i="2"/>
  <c r="A263" i="2"/>
  <c r="I262" i="2"/>
  <c r="A262" i="2"/>
  <c r="I261" i="2"/>
  <c r="A261" i="2"/>
  <c r="I260" i="2"/>
  <c r="A260" i="2"/>
  <c r="I259" i="2"/>
  <c r="A259" i="2"/>
  <c r="I258" i="2"/>
  <c r="A258" i="2"/>
  <c r="E257" i="2" a="1"/>
  <c r="E257" i="2" s="1"/>
  <c r="I257" i="2" s="1"/>
  <c r="A257" i="2"/>
  <c r="I256" i="2"/>
  <c r="A256" i="2"/>
  <c r="I255" i="2"/>
  <c r="A255" i="2"/>
  <c r="I254" i="2"/>
  <c r="A254" i="2"/>
  <c r="I253" i="2"/>
  <c r="A253" i="2"/>
  <c r="I252" i="2"/>
  <c r="A252" i="2"/>
  <c r="I251" i="2"/>
  <c r="A251" i="2"/>
  <c r="I250" i="2"/>
  <c r="A250" i="2"/>
  <c r="I249" i="2"/>
  <c r="A249" i="2"/>
  <c r="I248" i="2"/>
  <c r="A248" i="2"/>
  <c r="I247" i="2"/>
  <c r="A247" i="2"/>
  <c r="I246" i="2"/>
  <c r="A246" i="2"/>
  <c r="I245" i="2"/>
  <c r="A245" i="2"/>
  <c r="I244" i="2"/>
  <c r="A244" i="2"/>
  <c r="I243" i="2"/>
  <c r="A243" i="2"/>
  <c r="I242" i="2"/>
  <c r="A242" i="2"/>
  <c r="I241" i="2"/>
  <c r="A241" i="2"/>
  <c r="I240" i="2"/>
  <c r="A240" i="2"/>
  <c r="I239" i="2"/>
  <c r="A239" i="2"/>
  <c r="I238" i="2"/>
  <c r="A238" i="2"/>
  <c r="I237" i="2"/>
  <c r="A237" i="2"/>
  <c r="I236" i="2"/>
  <c r="A236" i="2"/>
  <c r="I235" i="2"/>
  <c r="A235" i="2"/>
  <c r="I234" i="2"/>
  <c r="A234" i="2"/>
  <c r="I233" i="2"/>
  <c r="A233" i="2"/>
  <c r="I232" i="2"/>
  <c r="A232" i="2"/>
  <c r="I231" i="2"/>
  <c r="A231" i="2"/>
  <c r="A230" i="2"/>
  <c r="I229" i="2"/>
  <c r="A229" i="2"/>
  <c r="I228" i="2"/>
  <c r="A228" i="2"/>
  <c r="I227" i="2"/>
  <c r="A227" i="2"/>
  <c r="I226" i="2"/>
  <c r="A226" i="2"/>
  <c r="I225" i="2"/>
  <c r="A225" i="2"/>
  <c r="I224" i="2"/>
  <c r="A224" i="2"/>
  <c r="I223" i="2"/>
  <c r="A223" i="2"/>
  <c r="A222" i="2"/>
  <c r="A221" i="2"/>
  <c r="A220" i="2"/>
  <c r="I219" i="2"/>
  <c r="A219" i="2"/>
  <c r="I218" i="2"/>
  <c r="A218" i="2"/>
  <c r="I217" i="2"/>
  <c r="A217" i="2"/>
  <c r="I216" i="2"/>
  <c r="A216" i="2"/>
  <c r="I215" i="2"/>
  <c r="A215" i="2"/>
  <c r="I214" i="2"/>
  <c r="A214" i="2"/>
  <c r="I213" i="2"/>
  <c r="A213" i="2"/>
  <c r="I212" i="2"/>
  <c r="A212" i="2"/>
  <c r="A211" i="2"/>
  <c r="I210" i="2"/>
  <c r="A210" i="2"/>
  <c r="I209" i="2"/>
  <c r="A209" i="2"/>
  <c r="I208" i="2"/>
  <c r="A208" i="2"/>
  <c r="I207" i="2"/>
  <c r="A207" i="2"/>
  <c r="I206" i="2"/>
  <c r="A206" i="2"/>
  <c r="I205" i="2"/>
  <c r="A205" i="2"/>
  <c r="I204" i="2"/>
  <c r="A204" i="2"/>
  <c r="I203" i="2"/>
  <c r="A203" i="2"/>
  <c r="A202" i="2"/>
  <c r="A201" i="2"/>
  <c r="I200" i="2"/>
  <c r="A200" i="2"/>
  <c r="I199" i="2"/>
  <c r="A199" i="2"/>
  <c r="I198" i="2"/>
  <c r="A198" i="2"/>
  <c r="I197" i="2"/>
  <c r="A197" i="2"/>
  <c r="I196" i="2"/>
  <c r="A196" i="2"/>
  <c r="I195" i="2"/>
  <c r="A195" i="2"/>
  <c r="I194" i="2"/>
  <c r="A194" i="2"/>
  <c r="I193" i="2"/>
  <c r="A193" i="2"/>
  <c r="I192" i="2"/>
  <c r="A192" i="2"/>
  <c r="I191" i="2"/>
  <c r="A191" i="2"/>
  <c r="I190" i="2"/>
  <c r="A190" i="2"/>
  <c r="I189" i="2"/>
  <c r="A189" i="2"/>
  <c r="I188" i="2"/>
  <c r="A188" i="2"/>
  <c r="I187" i="2"/>
  <c r="A187" i="2"/>
  <c r="I186" i="2"/>
  <c r="A186" i="2"/>
  <c r="I185" i="2"/>
  <c r="A185" i="2"/>
  <c r="I184" i="2"/>
  <c r="A184" i="2"/>
  <c r="I183" i="2"/>
  <c r="A183" i="2"/>
  <c r="I182" i="2"/>
  <c r="A182" i="2"/>
  <c r="I181" i="2"/>
  <c r="A181" i="2"/>
  <c r="A180" i="2"/>
  <c r="I179" i="2"/>
  <c r="A179" i="2"/>
  <c r="I178" i="2"/>
  <c r="A178" i="2"/>
  <c r="I177" i="2"/>
  <c r="A177" i="2"/>
  <c r="I176" i="2"/>
  <c r="A176" i="2"/>
  <c r="I175" i="2"/>
  <c r="A175" i="2"/>
  <c r="I174" i="2"/>
  <c r="A174" i="2"/>
  <c r="I173" i="2"/>
  <c r="A173" i="2"/>
  <c r="I172" i="2"/>
  <c r="A172" i="2"/>
  <c r="I171" i="2"/>
  <c r="A171" i="2"/>
  <c r="I170" i="2"/>
  <c r="A170" i="2"/>
  <c r="I169" i="2"/>
  <c r="A169" i="2"/>
  <c r="I168" i="2"/>
  <c r="A168" i="2"/>
  <c r="I167" i="2"/>
  <c r="A167" i="2"/>
  <c r="I166" i="2"/>
  <c r="A166" i="2"/>
  <c r="A165" i="2"/>
  <c r="A164" i="2"/>
  <c r="A163" i="2"/>
  <c r="A162" i="2"/>
  <c r="I161" i="2"/>
  <c r="A161" i="2"/>
  <c r="I160" i="2"/>
  <c r="A160" i="2"/>
  <c r="I159" i="2"/>
  <c r="A159" i="2"/>
  <c r="I158" i="2"/>
  <c r="A158" i="2"/>
  <c r="A157" i="2"/>
  <c r="I156" i="2"/>
  <c r="A156" i="2"/>
  <c r="I155" i="2"/>
  <c r="A155" i="2"/>
  <c r="I154" i="2"/>
  <c r="A154" i="2"/>
  <c r="I153" i="2"/>
  <c r="A153" i="2"/>
  <c r="I152" i="2"/>
  <c r="A152" i="2"/>
  <c r="I151" i="2"/>
  <c r="A151" i="2"/>
  <c r="I150" i="2"/>
  <c r="A150" i="2"/>
  <c r="I149" i="2"/>
  <c r="A149" i="2"/>
  <c r="I148" i="2"/>
  <c r="A148" i="2"/>
  <c r="I147" i="2"/>
  <c r="A147" i="2"/>
  <c r="I146" i="2"/>
  <c r="A146" i="2"/>
  <c r="E145" i="2"/>
  <c r="I145" i="2" s="1"/>
  <c r="A145" i="2"/>
  <c r="I144" i="2"/>
  <c r="A144" i="2"/>
  <c r="I143" i="2"/>
  <c r="A143" i="2"/>
  <c r="I142" i="2"/>
  <c r="A142" i="2"/>
  <c r="I141" i="2"/>
  <c r="A141" i="2"/>
  <c r="I140" i="2"/>
  <c r="A140" i="2"/>
  <c r="I139" i="2"/>
  <c r="A139" i="2"/>
  <c r="I138" i="2"/>
  <c r="A138" i="2"/>
  <c r="I137" i="2"/>
  <c r="A137" i="2"/>
  <c r="I136" i="2"/>
  <c r="A136" i="2"/>
  <c r="I135" i="2"/>
  <c r="A135" i="2"/>
  <c r="I134" i="2"/>
  <c r="A134" i="2"/>
  <c r="I133" i="2"/>
  <c r="A133" i="2"/>
  <c r="I132" i="2"/>
  <c r="A132" i="2"/>
  <c r="I131" i="2"/>
  <c r="A131" i="2"/>
  <c r="I130" i="2"/>
  <c r="A130" i="2"/>
  <c r="I129" i="2"/>
  <c r="A129" i="2"/>
  <c r="I128" i="2"/>
  <c r="A128" i="2"/>
  <c r="I127" i="2"/>
  <c r="A127" i="2"/>
  <c r="I126" i="2"/>
  <c r="A126" i="2"/>
  <c r="I125" i="2"/>
  <c r="A125" i="2"/>
  <c r="I124" i="2"/>
  <c r="A124" i="2"/>
  <c r="I123" i="2"/>
  <c r="A123" i="2"/>
  <c r="A122" i="2"/>
  <c r="A121" i="2"/>
  <c r="I120" i="2"/>
  <c r="A120" i="2"/>
  <c r="I119" i="2"/>
  <c r="A119" i="2"/>
  <c r="A118" i="2"/>
  <c r="G117" i="2"/>
  <c r="I117" i="2" s="1"/>
  <c r="A117" i="2"/>
  <c r="A116" i="2"/>
  <c r="G115" i="2"/>
  <c r="I115" i="2" s="1"/>
  <c r="A115" i="2"/>
  <c r="A114" i="2"/>
  <c r="I113" i="2"/>
  <c r="A113" i="2"/>
  <c r="I112" i="2"/>
  <c r="A112" i="2"/>
  <c r="I111" i="2"/>
  <c r="A111" i="2"/>
  <c r="A109" i="2"/>
  <c r="A108" i="2"/>
  <c r="A107" i="2"/>
  <c r="I106" i="2"/>
  <c r="A106" i="2"/>
  <c r="A105" i="2"/>
  <c r="A104" i="2"/>
  <c r="I103" i="2"/>
  <c r="A103" i="2"/>
  <c r="I102" i="2"/>
  <c r="A102" i="2"/>
  <c r="A101" i="2"/>
  <c r="A100" i="2"/>
  <c r="A99" i="2"/>
  <c r="A98" i="2"/>
  <c r="I97" i="2"/>
  <c r="A97" i="2"/>
  <c r="I96" i="2"/>
  <c r="A96" i="2"/>
  <c r="I95" i="2"/>
  <c r="A95" i="2"/>
  <c r="I94" i="2"/>
  <c r="A94" i="2"/>
  <c r="I93" i="2"/>
  <c r="A93" i="2"/>
  <c r="I92" i="2"/>
  <c r="A92" i="2"/>
  <c r="I91" i="2"/>
  <c r="A91" i="2"/>
  <c r="I90" i="2"/>
  <c r="A90" i="2"/>
  <c r="I89" i="2"/>
  <c r="A89" i="2"/>
  <c r="I88" i="2"/>
  <c r="A88" i="2"/>
  <c r="I87" i="2"/>
  <c r="A87" i="2"/>
  <c r="I86" i="2"/>
  <c r="A86" i="2"/>
  <c r="I85" i="2"/>
  <c r="A85" i="2"/>
  <c r="I84" i="2"/>
  <c r="A84" i="2"/>
  <c r="I83" i="2"/>
  <c r="A83" i="2"/>
  <c r="I82" i="2"/>
  <c r="A82" i="2"/>
  <c r="I81" i="2"/>
  <c r="A81" i="2"/>
  <c r="I80" i="2"/>
  <c r="A80" i="2"/>
  <c r="I79" i="2"/>
  <c r="A79" i="2"/>
  <c r="I78" i="2"/>
  <c r="A78" i="2"/>
  <c r="I77" i="2"/>
  <c r="A77" i="2"/>
  <c r="I76" i="2"/>
  <c r="A76" i="2"/>
  <c r="I75" i="2"/>
  <c r="A75" i="2"/>
  <c r="I74" i="2"/>
  <c r="A74" i="2"/>
  <c r="I73" i="2"/>
  <c r="A73" i="2"/>
  <c r="I72" i="2"/>
  <c r="A72" i="2"/>
  <c r="I71" i="2"/>
  <c r="A71" i="2"/>
  <c r="I70" i="2"/>
  <c r="A70" i="2"/>
  <c r="I69" i="2"/>
  <c r="A69" i="2"/>
  <c r="I68" i="2"/>
  <c r="A68" i="2"/>
  <c r="I67" i="2"/>
  <c r="A67" i="2"/>
  <c r="I66" i="2"/>
  <c r="A66" i="2"/>
  <c r="I65" i="2"/>
  <c r="A65" i="2"/>
  <c r="I64" i="2"/>
  <c r="A64" i="2"/>
  <c r="I63" i="2"/>
  <c r="A63" i="2"/>
  <c r="I62" i="2"/>
  <c r="A62" i="2"/>
  <c r="I61" i="2"/>
  <c r="A61" i="2"/>
  <c r="I60" i="2"/>
  <c r="A60" i="2"/>
  <c r="I59" i="2"/>
  <c r="A59" i="2"/>
  <c r="I58" i="2"/>
  <c r="A58" i="2"/>
  <c r="I57" i="2"/>
  <c r="A57" i="2"/>
  <c r="I56" i="2"/>
  <c r="A56" i="2"/>
  <c r="I55" i="2"/>
  <c r="A55" i="2"/>
  <c r="I54" i="2"/>
  <c r="A54" i="2"/>
  <c r="I53" i="2"/>
  <c r="A53" i="2"/>
  <c r="I52" i="2"/>
  <c r="A52" i="2"/>
  <c r="I51" i="2"/>
  <c r="A51" i="2"/>
  <c r="I50" i="2"/>
  <c r="A50" i="2"/>
  <c r="I49" i="2"/>
  <c r="A49" i="2"/>
  <c r="I48" i="2"/>
  <c r="A48" i="2"/>
  <c r="I47" i="2"/>
  <c r="A47" i="2"/>
  <c r="I46" i="2"/>
  <c r="A46" i="2"/>
  <c r="I45" i="2"/>
  <c r="A45" i="2"/>
  <c r="A44" i="2"/>
  <c r="I43" i="2"/>
  <c r="A43" i="2"/>
  <c r="A42" i="2"/>
  <c r="I41" i="2"/>
  <c r="A41" i="2"/>
  <c r="I40" i="2"/>
  <c r="A40" i="2"/>
  <c r="I39" i="2"/>
  <c r="A39" i="2"/>
  <c r="I38" i="2"/>
  <c r="A38" i="2"/>
  <c r="I37" i="2"/>
  <c r="A37" i="2"/>
  <c r="I36" i="2"/>
  <c r="A36" i="2"/>
  <c r="I35" i="2"/>
  <c r="A35" i="2"/>
  <c r="I34" i="2"/>
  <c r="A34" i="2"/>
  <c r="G33" i="2"/>
  <c r="I33" i="2" s="1"/>
  <c r="A33" i="2"/>
  <c r="I32" i="2"/>
  <c r="A32" i="2"/>
  <c r="I31" i="2"/>
  <c r="A31" i="2"/>
  <c r="I30" i="2"/>
  <c r="A30" i="2"/>
  <c r="I29" i="2"/>
  <c r="A29" i="2"/>
  <c r="I28" i="2"/>
  <c r="A28" i="2"/>
  <c r="I27" i="2"/>
  <c r="A27" i="2"/>
  <c r="A26" i="2"/>
  <c r="I25" i="2"/>
  <c r="A25" i="2"/>
  <c r="A24" i="2"/>
  <c r="I23" i="2"/>
  <c r="A23" i="2"/>
  <c r="A22" i="2"/>
  <c r="I21" i="2"/>
  <c r="A21" i="2"/>
  <c r="I20" i="2"/>
  <c r="A20" i="2"/>
  <c r="I19" i="2"/>
  <c r="A19" i="2"/>
  <c r="I18" i="2"/>
  <c r="A18" i="2"/>
  <c r="I17" i="2"/>
  <c r="A17" i="2"/>
  <c r="I16" i="2"/>
  <c r="A16" i="2"/>
  <c r="I15" i="2"/>
  <c r="A15" i="2"/>
  <c r="I14" i="2"/>
  <c r="A14" i="2"/>
  <c r="A13" i="2"/>
  <c r="A12" i="2"/>
  <c r="I11" i="2"/>
  <c r="A11" i="2"/>
  <c r="A10" i="2"/>
  <c r="A9" i="2"/>
  <c r="I8" i="2"/>
  <c r="A8" i="2"/>
  <c r="I7" i="2"/>
  <c r="A7" i="2"/>
  <c r="A6" i="2"/>
  <c r="A5" i="2"/>
  <c r="I4" i="2"/>
  <c r="A4" i="2"/>
  <c r="I3" i="2"/>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Soon Jang</author>
  </authors>
  <commentList>
    <comment ref="B8" authorId="0" shapeId="0" xr:uid="{00000000-0006-0000-0100-000001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9" authorId="0" shapeId="0" xr:uid="{00000000-0006-0000-0100-000002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10" authorId="0" shapeId="0" xr:uid="{00000000-0006-0000-0100-000003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11" authorId="0" shapeId="0" xr:uid="{00000000-0006-0000-0100-000004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12" authorId="0" shapeId="0" xr:uid="{00000000-0006-0000-0100-000005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13" authorId="0" shapeId="0" xr:uid="{00000000-0006-0000-0100-000006000000}">
      <text>
        <r>
          <rPr>
            <sz val="10"/>
            <rFont val="Arial"/>
            <family val="2"/>
          </rPr>
          <t xml:space="preserve">Soon Jang:
</t>
        </r>
        <r>
          <rPr>
            <sz val="9"/>
            <color rgb="FF000000"/>
            <rFont val="Tahoma"/>
            <family val="2"/>
            <charset val="1"/>
          </rPr>
          <t>NX-Mask</t>
        </r>
        <r>
          <rPr>
            <sz val="9"/>
            <color rgb="FF000000"/>
            <rFont val="돋움"/>
            <family val="3"/>
            <charset val="129"/>
          </rPr>
          <t xml:space="preserve">는 삭제
</t>
        </r>
      </text>
    </comment>
    <comment ref="B14" authorId="0" shapeId="0" xr:uid="{00000000-0006-0000-0100-000007000000}">
      <text>
        <r>
          <rPr>
            <sz val="10"/>
            <rFont val="Arial"/>
            <family val="2"/>
          </rPr>
          <t xml:space="preserve">Soon Jang:
</t>
        </r>
        <r>
          <rPr>
            <sz val="9"/>
            <color rgb="FF000000"/>
            <rFont val="Tahoma"/>
            <family val="2"/>
            <charset val="1"/>
          </rPr>
          <t xml:space="preserve">Panel </t>
        </r>
        <r>
          <rPr>
            <sz val="9"/>
            <color rgb="FF000000"/>
            <rFont val="돋움"/>
            <family val="3"/>
            <charset val="129"/>
          </rPr>
          <t xml:space="preserve">장비는 </t>
        </r>
        <r>
          <rPr>
            <sz val="9"/>
            <color rgb="FF000000"/>
            <rFont val="Tahoma"/>
            <family val="2"/>
            <charset val="1"/>
          </rPr>
          <t xml:space="preserve">Dynamic test </t>
        </r>
        <r>
          <rPr>
            <sz val="9"/>
            <color rgb="FF000000"/>
            <rFont val="돋움"/>
            <family val="3"/>
            <charset val="129"/>
          </rPr>
          <t>삭제</t>
        </r>
      </text>
    </comment>
    <comment ref="G107" authorId="0" shapeId="0" xr:uid="{00000000-0006-0000-0100-00000D000000}">
      <text>
        <r>
          <rPr>
            <sz val="10"/>
            <rFont val="Arial"/>
            <family val="2"/>
          </rPr>
          <t xml:space="preserve">Soon Jang:
</t>
        </r>
        <r>
          <rPr>
            <sz val="9"/>
            <color rgb="FF000000"/>
            <rFont val="돋움"/>
            <family val="3"/>
            <charset val="129"/>
          </rPr>
          <t>설정한 값 기입</t>
        </r>
      </text>
    </comment>
    <comment ref="G108" authorId="0" shapeId="0" xr:uid="{00000000-0006-0000-0100-00000E000000}">
      <text>
        <r>
          <rPr>
            <sz val="10"/>
            <rFont val="Arial"/>
            <family val="2"/>
          </rPr>
          <t xml:space="preserve">Soon Jang:
</t>
        </r>
        <r>
          <rPr>
            <sz val="9"/>
            <color rgb="FF000000"/>
            <rFont val="돋움"/>
            <family val="3"/>
            <charset val="129"/>
          </rPr>
          <t>설정한 값 기입</t>
        </r>
      </text>
    </comment>
    <comment ref="E256" authorId="0" shapeId="0" xr:uid="{00000000-0006-0000-0100-00000A000000}">
      <text>
        <r>
          <rPr>
            <sz val="10"/>
            <rFont val="Arial"/>
            <family val="2"/>
          </rPr>
          <t xml:space="preserve">Soon Jang:
</t>
        </r>
        <r>
          <rPr>
            <sz val="9"/>
            <color rgb="FF000000"/>
            <rFont val="Tahoma"/>
            <family val="2"/>
            <charset val="1"/>
          </rPr>
          <t xml:space="preserve">Yes or No </t>
        </r>
        <r>
          <rPr>
            <sz val="9"/>
            <color rgb="FF000000"/>
            <rFont val="돋움"/>
            <family val="3"/>
            <charset val="129"/>
          </rPr>
          <t xml:space="preserve">선택시 아래 </t>
        </r>
        <r>
          <rPr>
            <sz val="9"/>
            <color rgb="FF000000"/>
            <rFont val="Tahoma"/>
            <family val="2"/>
            <charset val="1"/>
          </rPr>
          <t xml:space="preserve">check item Criteria </t>
        </r>
        <r>
          <rPr>
            <sz val="9"/>
            <color rgb="FF000000"/>
            <rFont val="돋움"/>
            <family val="3"/>
            <charset val="129"/>
          </rPr>
          <t>변경됨</t>
        </r>
      </text>
    </comment>
    <comment ref="D346" authorId="0" shapeId="0" xr:uid="{00000000-0006-0000-0100-000008000000}">
      <text>
        <r>
          <rPr>
            <sz val="10"/>
            <rFont val="Arial"/>
            <family val="2"/>
          </rPr>
          <t xml:space="preserve">Soon Jang:
</t>
        </r>
        <r>
          <rPr>
            <sz val="9"/>
            <color rgb="FF000000"/>
            <rFont val="Tahoma"/>
            <family val="2"/>
            <charset val="1"/>
          </rPr>
          <t xml:space="preserve">Yaskawa : </t>
        </r>
        <r>
          <rPr>
            <sz val="9"/>
            <color rgb="FF000000"/>
            <rFont val="돋움"/>
            <family val="3"/>
            <charset val="129"/>
          </rPr>
          <t>±</t>
        </r>
        <r>
          <rPr>
            <sz val="9"/>
            <color rgb="FF000000"/>
            <rFont val="Tahoma"/>
            <family val="2"/>
            <charset val="1"/>
          </rPr>
          <t>0.1 degree
Non-Yaskawa : ±0.15 degree</t>
        </r>
      </text>
    </comment>
    <comment ref="F346" authorId="0" shapeId="0" xr:uid="{00000000-0006-0000-0100-00000B000000}">
      <text>
        <r>
          <rPr>
            <sz val="10"/>
            <rFont val="Arial"/>
            <family val="2"/>
          </rPr>
          <t xml:space="preserve">Soon Jang:
</t>
        </r>
        <r>
          <rPr>
            <sz val="9"/>
            <color rgb="FF000000"/>
            <rFont val="Tahoma"/>
            <family val="2"/>
            <charset val="1"/>
          </rPr>
          <t>Yaskawa : ±0.10 degree
Non-Yaskawa : ±0.15 degree</t>
        </r>
      </text>
    </comment>
    <comment ref="D347" authorId="0" shapeId="0" xr:uid="{00000000-0006-0000-0100-000009000000}">
      <text>
        <r>
          <rPr>
            <sz val="10"/>
            <rFont val="Arial"/>
            <family val="2"/>
          </rPr>
          <t xml:space="preserve">Soon Jang:
</t>
        </r>
        <r>
          <rPr>
            <sz val="9"/>
            <color rgb="FF000000"/>
            <rFont val="Tahoma"/>
            <family val="2"/>
            <charset val="1"/>
          </rPr>
          <t xml:space="preserve">Yaskawa : </t>
        </r>
        <r>
          <rPr>
            <sz val="9"/>
            <color rgb="FF000000"/>
            <rFont val="돋움"/>
            <family val="3"/>
            <charset val="129"/>
          </rPr>
          <t>±</t>
        </r>
        <r>
          <rPr>
            <sz val="9"/>
            <color rgb="FF000000"/>
            <rFont val="Tahoma"/>
            <family val="2"/>
            <charset val="1"/>
          </rPr>
          <t>0.1 degree
Non-Yaskawa : ±0.15 degree</t>
        </r>
      </text>
    </comment>
    <comment ref="F347" authorId="0" shapeId="0" xr:uid="{00000000-0006-0000-0100-00000C000000}">
      <text>
        <r>
          <rPr>
            <sz val="10"/>
            <rFont val="Arial"/>
            <family val="2"/>
          </rPr>
          <t xml:space="preserve">Soon Jang:
</t>
        </r>
        <r>
          <rPr>
            <sz val="9"/>
            <color rgb="FF000000"/>
            <rFont val="Tahoma"/>
            <family val="2"/>
            <charset val="1"/>
          </rPr>
          <t>Yaskawa : ±0.10 degree
Non-Yaskawa : ±0.15 degree</t>
        </r>
      </text>
    </comment>
    <comment ref="G389" authorId="0" shapeId="0" xr:uid="{00000000-0006-0000-0100-00000F000000}">
      <text>
        <r>
          <rPr>
            <sz val="10"/>
            <rFont val="Arial"/>
            <family val="2"/>
          </rPr>
          <t xml:space="preserve">Soon Jang:
</t>
        </r>
        <r>
          <rPr>
            <sz val="9"/>
            <color rgb="FF000000"/>
            <rFont val="돋움"/>
            <family val="3"/>
            <charset val="129"/>
          </rPr>
          <t>설정한 값 기입</t>
        </r>
      </text>
    </comment>
  </commentList>
</comments>
</file>

<file path=xl/sharedStrings.xml><?xml version="1.0" encoding="utf-8"?>
<sst xmlns="http://schemas.openxmlformats.org/spreadsheetml/2006/main" count="2810" uniqueCount="748">
  <si>
    <t>#</t>
  </si>
  <si>
    <t>Module</t>
  </si>
  <si>
    <t>Check Items</t>
  </si>
  <si>
    <t>Min</t>
  </si>
  <si>
    <t>Criteria</t>
  </si>
  <si>
    <t>Max</t>
  </si>
  <si>
    <t>Measurement</t>
  </si>
  <si>
    <t>Unit</t>
  </si>
  <si>
    <t>PASS/FAIL</t>
  </si>
  <si>
    <t>Category</t>
  </si>
  <si>
    <t>Trend</t>
  </si>
  <si>
    <r>
      <rPr>
        <b/>
        <sz val="18"/>
        <color theme="1"/>
        <rFont val="맑은 고딕"/>
        <family val="2"/>
        <charset val="129"/>
      </rPr>
      <t>공통</t>
    </r>
    <r>
      <rPr>
        <b/>
        <sz val="18"/>
        <color theme="1"/>
        <rFont val="Arial"/>
        <family val="2"/>
        <charset val="1"/>
      </rPr>
      <t>/</t>
    </r>
    <r>
      <rPr>
        <b/>
        <sz val="18"/>
        <color theme="1"/>
        <rFont val="맑은 고딕"/>
        <family val="2"/>
        <charset val="129"/>
      </rPr>
      <t>옵션</t>
    </r>
  </si>
  <si>
    <t>Remark</t>
  </si>
  <si>
    <t>중간검수</t>
  </si>
  <si>
    <t>Performance</t>
  </si>
  <si>
    <t>Specification of Step Height Sample for repeatability test</t>
  </si>
  <si>
    <t>-</t>
  </si>
  <si>
    <t>177.5±2.0</t>
  </si>
  <si>
    <t>nm</t>
  </si>
  <si>
    <t>Pass</t>
  </si>
  <si>
    <r>
      <rPr>
        <sz val="18"/>
        <color theme="1"/>
        <rFont val="맑은 고딕"/>
        <family val="2"/>
        <charset val="129"/>
      </rPr>
      <t>아래 측정</t>
    </r>
    <r>
      <rPr>
        <sz val="18"/>
        <color theme="1"/>
        <rFont val="Arial"/>
        <family val="2"/>
        <charset val="1"/>
      </rPr>
      <t xml:space="preserve">(AFM,AFP Repeatability) </t>
    </r>
    <r>
      <rPr>
        <sz val="18"/>
        <color theme="1"/>
        <rFont val="맑은 고딕"/>
        <family val="2"/>
        <charset val="129"/>
      </rPr>
      <t xml:space="preserve">에 사용하는 </t>
    </r>
    <r>
      <rPr>
        <sz val="18"/>
        <color theme="1"/>
        <rFont val="Arial"/>
        <family val="2"/>
        <charset val="1"/>
      </rPr>
      <t xml:space="preserve">Sample(180nm) spec </t>
    </r>
    <r>
      <rPr>
        <sz val="18"/>
        <color theme="1"/>
        <rFont val="맑은 고딕"/>
        <family val="2"/>
        <charset val="129"/>
      </rPr>
      <t xml:space="preserve">기입 </t>
    </r>
    <r>
      <rPr>
        <sz val="18"/>
        <color theme="1"/>
        <rFont val="Arial"/>
        <family val="2"/>
        <charset val="1"/>
      </rPr>
      <t>ex)183.8 ± 2.0nm</t>
    </r>
  </si>
  <si>
    <t>AFM, Static Repeatability w/ 180nm Step Height Sample (15 repeats, 3σ)</t>
  </si>
  <si>
    <t>Check item</t>
  </si>
  <si>
    <r>
      <rPr>
        <sz val="18"/>
        <color theme="1"/>
        <rFont val="맑은 고딕"/>
        <family val="2"/>
        <charset val="129"/>
      </rPr>
      <t xml:space="preserve">측정시 </t>
    </r>
    <r>
      <rPr>
        <sz val="18"/>
        <color theme="1"/>
        <rFont val="Arial"/>
        <family val="2"/>
        <charset val="1"/>
      </rPr>
      <t>Sample EFEM</t>
    </r>
    <r>
      <rPr>
        <sz val="18"/>
        <color theme="1"/>
        <rFont val="맑은 고딕"/>
        <family val="2"/>
        <charset val="129"/>
      </rPr>
      <t xml:space="preserve">으로 로딩하는 </t>
    </r>
    <r>
      <rPr>
        <sz val="18"/>
        <color theme="1"/>
        <rFont val="Arial"/>
        <family val="2"/>
        <charset val="1"/>
      </rPr>
      <t>Job</t>
    </r>
    <r>
      <rPr>
        <sz val="18"/>
        <color theme="1"/>
        <rFont val="맑은 고딕"/>
        <family val="2"/>
        <charset val="129"/>
      </rPr>
      <t xml:space="preserve">으로 진행 필요 </t>
    </r>
    <r>
      <rPr>
        <sz val="18"/>
        <color theme="1"/>
        <rFont val="Arial"/>
        <family val="2"/>
        <charset val="1"/>
      </rPr>
      <t xml:space="preserve">3.13.0 </t>
    </r>
    <r>
      <rPr>
        <sz val="18"/>
        <color theme="1"/>
        <rFont val="맑은 고딕"/>
        <family val="2"/>
        <charset val="129"/>
      </rPr>
      <t xml:space="preserve">부터 해당레시피 변경됨 </t>
    </r>
  </si>
  <si>
    <t>AFM, Static Repeatability w/ 180nm Step Height Sample (15 repeats, RSD%)</t>
  </si>
  <si>
    <t>%</t>
  </si>
  <si>
    <t>Cycle time for 15-point measurement</t>
  </si>
  <si>
    <t>sec</t>
  </si>
  <si>
    <r>
      <rPr>
        <sz val="18"/>
        <color theme="1"/>
        <rFont val="Arial"/>
        <family val="2"/>
        <charset val="1"/>
      </rPr>
      <t xml:space="preserve">Static Repeatability w/ 180nm Step Height Sample </t>
    </r>
    <r>
      <rPr>
        <sz val="18"/>
        <color theme="1"/>
        <rFont val="맑은 고딕"/>
        <family val="2"/>
        <charset val="129"/>
      </rPr>
      <t xml:space="preserve">측정 </t>
    </r>
    <r>
      <rPr>
        <sz val="18"/>
        <color theme="1"/>
        <rFont val="Arial"/>
        <family val="2"/>
        <charset val="1"/>
      </rPr>
      <t>Data log</t>
    </r>
    <r>
      <rPr>
        <sz val="18"/>
        <color theme="1"/>
        <rFont val="맑은 고딕"/>
        <family val="2"/>
        <charset val="129"/>
      </rPr>
      <t>로 확인</t>
    </r>
    <r>
      <rPr>
        <sz val="18"/>
        <color theme="1"/>
        <rFont val="Arial"/>
        <family val="2"/>
        <charset val="1"/>
      </rPr>
      <t xml:space="preserve">, </t>
    </r>
    <r>
      <rPr>
        <sz val="18"/>
        <color theme="1"/>
        <rFont val="맑은 고딕"/>
        <family val="2"/>
        <charset val="129"/>
      </rPr>
      <t>가이드 참고하여 분석시트 사용</t>
    </r>
    <r>
      <rPr>
        <sz val="18"/>
        <color theme="1"/>
        <rFont val="Arial"/>
        <family val="2"/>
        <charset val="1"/>
      </rPr>
      <t>, Mask, Panel</t>
    </r>
    <r>
      <rPr>
        <sz val="18"/>
        <color theme="1"/>
        <rFont val="맑은 고딕"/>
        <family val="2"/>
        <charset val="129"/>
      </rPr>
      <t xml:space="preserve">는 </t>
    </r>
    <r>
      <rPr>
        <sz val="18"/>
        <color theme="1"/>
        <rFont val="Arial"/>
        <family val="2"/>
        <charset val="1"/>
      </rPr>
      <t xml:space="preserve">N/A </t>
    </r>
    <r>
      <rPr>
        <sz val="18"/>
        <color theme="1"/>
        <rFont val="맑은 고딕"/>
        <family val="2"/>
        <charset val="129"/>
      </rPr>
      <t>처리</t>
    </r>
  </si>
  <si>
    <t>Specification of Step Height Sample for short-term stability test</t>
  </si>
  <si>
    <t>452.5±2.7</t>
  </si>
  <si>
    <r>
      <rPr>
        <sz val="18"/>
        <color theme="1"/>
        <rFont val="맑은 고딕"/>
        <family val="2"/>
        <charset val="129"/>
      </rPr>
      <t>아래 측정</t>
    </r>
    <r>
      <rPr>
        <sz val="18"/>
        <color theme="1"/>
        <rFont val="Arial"/>
        <family val="2"/>
        <charset val="1"/>
      </rPr>
      <t xml:space="preserve">(Short-term stability) </t>
    </r>
    <r>
      <rPr>
        <sz val="18"/>
        <color theme="1"/>
        <rFont val="맑은 고딕"/>
        <family val="2"/>
        <charset val="129"/>
      </rPr>
      <t xml:space="preserve">에 사용하는 </t>
    </r>
    <r>
      <rPr>
        <sz val="18"/>
        <color theme="1"/>
        <rFont val="Arial"/>
        <family val="2"/>
        <charset val="1"/>
      </rPr>
      <t xml:space="preserve">Sample spec </t>
    </r>
    <r>
      <rPr>
        <sz val="18"/>
        <color theme="1"/>
        <rFont val="맑은 고딕"/>
        <family val="2"/>
        <charset val="129"/>
      </rPr>
      <t xml:space="preserve">기입 </t>
    </r>
    <r>
      <rPr>
        <sz val="18"/>
        <color theme="1"/>
        <rFont val="Arial"/>
        <family val="2"/>
        <charset val="1"/>
      </rPr>
      <t xml:space="preserve">ex)450 ± 2.0nm, wafer sample </t>
    </r>
    <r>
      <rPr>
        <sz val="18"/>
        <color theme="1"/>
        <rFont val="맑은 고딕"/>
        <family val="2"/>
        <charset val="129"/>
      </rPr>
      <t>사용</t>
    </r>
    <r>
      <rPr>
        <sz val="18"/>
        <color theme="1"/>
        <rFont val="Arial"/>
        <family val="2"/>
        <charset val="1"/>
      </rPr>
      <t>(180nm or 450nm)</t>
    </r>
  </si>
  <si>
    <t>Short-term stability using Step Height Sample (3σ)</t>
  </si>
  <si>
    <r>
      <rPr>
        <sz val="18"/>
        <color theme="1"/>
        <rFont val="Arial"/>
        <family val="2"/>
        <charset val="1"/>
      </rPr>
      <t>Cal 450nm, 450nm or 180nm</t>
    </r>
    <r>
      <rPr>
        <sz val="18"/>
        <color theme="1"/>
        <rFont val="맑은 고딕"/>
        <family val="2"/>
        <charset val="129"/>
      </rPr>
      <t xml:space="preserve">의 </t>
    </r>
    <r>
      <rPr>
        <sz val="18"/>
        <color theme="1"/>
        <rFont val="Arial"/>
        <family val="2"/>
        <charset val="1"/>
      </rPr>
      <t>Sample</t>
    </r>
    <r>
      <rPr>
        <sz val="18"/>
        <color theme="1"/>
        <rFont val="맑은 고딕"/>
        <family val="2"/>
        <charset val="129"/>
      </rPr>
      <t xml:space="preserve">을 활용하여 </t>
    </r>
    <r>
      <rPr>
        <sz val="18"/>
        <color theme="1"/>
        <rFont val="Arial"/>
        <family val="2"/>
        <charset val="1"/>
      </rPr>
      <t>72</t>
    </r>
    <r>
      <rPr>
        <sz val="18"/>
        <color theme="1"/>
        <rFont val="맑은 고딕"/>
        <family val="2"/>
        <charset val="129"/>
      </rPr>
      <t>시간</t>
    </r>
    <r>
      <rPr>
        <sz val="18"/>
        <color theme="1"/>
        <rFont val="Arial"/>
        <family val="2"/>
        <charset val="1"/>
      </rPr>
      <t xml:space="preserve">(3days) </t>
    </r>
    <r>
      <rPr>
        <sz val="18"/>
        <color theme="1"/>
        <rFont val="맑은 고딕"/>
        <family val="2"/>
        <charset val="129"/>
      </rPr>
      <t xml:space="preserve">측정 진행 </t>
    </r>
    <r>
      <rPr>
        <sz val="18"/>
        <color theme="1"/>
        <rFont val="Arial"/>
        <family val="2"/>
        <charset val="1"/>
      </rPr>
      <t>1recipe(100 repeats)</t>
    </r>
    <r>
      <rPr>
        <sz val="18"/>
        <color theme="1"/>
        <rFont val="맑은 고딕"/>
        <family val="2"/>
        <charset val="129"/>
      </rPr>
      <t xml:space="preserve">를 </t>
    </r>
    <r>
      <rPr>
        <sz val="18"/>
        <color theme="1"/>
        <rFont val="Arial"/>
        <family val="2"/>
        <charset val="1"/>
      </rPr>
      <t>21</t>
    </r>
    <r>
      <rPr>
        <sz val="18"/>
        <color theme="1"/>
        <rFont val="맑은 고딕"/>
        <family val="2"/>
        <charset val="129"/>
      </rPr>
      <t xml:space="preserve">번 반복 측정 </t>
    </r>
    <r>
      <rPr>
        <sz val="18"/>
        <color theme="1"/>
        <rFont val="Arial"/>
        <family val="2"/>
        <charset val="1"/>
      </rPr>
      <t xml:space="preserve">- </t>
    </r>
    <r>
      <rPr>
        <sz val="18"/>
        <color theme="1"/>
        <rFont val="맑은 고딕"/>
        <family val="2"/>
        <charset val="129"/>
      </rPr>
      <t xml:space="preserve">총 </t>
    </r>
    <r>
      <rPr>
        <sz val="18"/>
        <color theme="1"/>
        <rFont val="Arial"/>
        <family val="2"/>
        <charset val="1"/>
      </rPr>
      <t>2100 point</t>
    </r>
    <r>
      <rPr>
        <sz val="18"/>
        <color theme="1"/>
        <rFont val="맑은 고딕"/>
        <family val="2"/>
        <charset val="129"/>
      </rPr>
      <t xml:space="preserve">의 </t>
    </r>
    <r>
      <rPr>
        <sz val="18"/>
        <color theme="1"/>
        <rFont val="Arial"/>
        <family val="2"/>
        <charset val="1"/>
      </rPr>
      <t>3</t>
    </r>
    <r>
      <rPr>
        <sz val="18"/>
        <color theme="1"/>
        <rFont val="맑은 고딕"/>
        <family val="2"/>
        <charset val="129"/>
      </rPr>
      <t>시그마 사용</t>
    </r>
    <r>
      <rPr>
        <sz val="18"/>
        <color theme="1"/>
        <rFont val="Arial"/>
        <family val="2"/>
        <charset val="1"/>
      </rPr>
      <t xml:space="preserve">, Guide </t>
    </r>
    <r>
      <rPr>
        <sz val="18"/>
        <color theme="1"/>
        <rFont val="맑은 고딕"/>
        <family val="2"/>
        <charset val="129"/>
      </rPr>
      <t>및 분석시트 사용</t>
    </r>
  </si>
  <si>
    <t>Roughness Repeatability Test 1x1um(10Repeats)</t>
  </si>
  <si>
    <r>
      <rPr>
        <sz val="18"/>
        <color theme="1"/>
        <rFont val="Arial"/>
        <family val="2"/>
        <charset val="1"/>
      </rPr>
      <t>NX-Mask</t>
    </r>
    <r>
      <rPr>
        <sz val="18"/>
        <color theme="1"/>
        <rFont val="맑은 고딕"/>
        <family val="2"/>
        <charset val="129"/>
      </rPr>
      <t>는 해당 테스트 삭제</t>
    </r>
  </si>
  <si>
    <t>Roughness Repeatability 1x1um(RSD%)</t>
  </si>
  <si>
    <r>
      <rPr>
        <sz val="18"/>
        <color theme="1"/>
        <rFont val="Arial"/>
        <family val="2"/>
        <charset val="1"/>
      </rPr>
      <t>NX-Mask</t>
    </r>
    <r>
      <rPr>
        <sz val="18"/>
        <color theme="1"/>
        <rFont val="맑은 고딕"/>
        <family val="2"/>
        <charset val="129"/>
      </rPr>
      <t xml:space="preserve">는 해당 테스트 삭제, </t>
    </r>
    <r>
      <rPr>
        <sz val="18"/>
        <color theme="1"/>
        <rFont val="Arial"/>
        <family val="2"/>
        <charset val="1"/>
      </rPr>
      <t>1point</t>
    </r>
    <r>
      <rPr>
        <sz val="18"/>
        <color theme="1"/>
        <rFont val="맑은 고딕"/>
        <family val="2"/>
        <charset val="129"/>
      </rPr>
      <t xml:space="preserve">에서 </t>
    </r>
    <r>
      <rPr>
        <sz val="18"/>
        <color theme="1"/>
        <rFont val="Arial"/>
        <family val="2"/>
        <charset val="1"/>
      </rPr>
      <t>10</t>
    </r>
    <r>
      <rPr>
        <sz val="18"/>
        <color theme="1"/>
        <rFont val="맑은 고딕"/>
        <family val="2"/>
        <charset val="129"/>
      </rPr>
      <t>번 측정</t>
    </r>
    <r>
      <rPr>
        <sz val="18"/>
        <color theme="1"/>
        <rFont val="Arial"/>
        <family val="2"/>
        <charset val="1"/>
      </rPr>
      <t xml:space="preserve">, </t>
    </r>
    <r>
      <rPr>
        <sz val="18"/>
        <color theme="1"/>
        <rFont val="맑은 고딕"/>
        <family val="2"/>
        <charset val="129"/>
      </rPr>
      <t xml:space="preserve">분석시트 사용하여 </t>
    </r>
    <r>
      <rPr>
        <sz val="18"/>
        <color theme="1"/>
        <rFont val="Arial"/>
        <family val="2"/>
        <charset val="1"/>
      </rPr>
      <t>RSD</t>
    </r>
    <r>
      <rPr>
        <sz val="18"/>
        <color theme="1"/>
        <rFont val="맑은 고딕"/>
        <family val="2"/>
        <charset val="129"/>
      </rPr>
      <t xml:space="preserve">값 및 </t>
    </r>
    <r>
      <rPr>
        <sz val="18"/>
        <color theme="1"/>
        <rFont val="Arial"/>
        <family val="2"/>
        <charset val="1"/>
      </rPr>
      <t xml:space="preserve">1σ </t>
    </r>
    <r>
      <rPr>
        <sz val="18"/>
        <color theme="1"/>
        <rFont val="맑은 고딕"/>
        <family val="2"/>
        <charset val="129"/>
      </rPr>
      <t>기입</t>
    </r>
  </si>
  <si>
    <t>Roughness Repeatability 1x1um(1σ)</t>
  </si>
  <si>
    <t>Roughness Repeatability Test 80x80um(10Repeats)</t>
  </si>
  <si>
    <t>Roughness Repeatability 80x80um(RSD%)</t>
  </si>
  <si>
    <t>Roughness Repeatability 80x80um(1σ)</t>
  </si>
  <si>
    <t>Performance(w/ EFEM)</t>
  </si>
  <si>
    <t>AFM, Dynamic Repeatability w/ 180nm Step Height Sample (15 repeats, 3σ)</t>
  </si>
  <si>
    <r>
      <rPr>
        <sz val="18"/>
        <color theme="1"/>
        <rFont val="Arial"/>
        <family val="2"/>
        <charset val="1"/>
      </rPr>
      <t>1day</t>
    </r>
    <r>
      <rPr>
        <sz val="18"/>
        <color theme="1"/>
        <rFont val="맑은 고딕"/>
        <family val="2"/>
        <charset val="129"/>
      </rPr>
      <t>로 변경</t>
    </r>
  </si>
  <si>
    <t>AFM, Dynamic Repeatability w/ 180nm Step Height Sample (15 repeats, RSD%)</t>
  </si>
  <si>
    <t>SW</t>
  </si>
  <si>
    <t>Simulated Automation Test</t>
  </si>
  <si>
    <t>Yes</t>
  </si>
  <si>
    <t>System Noise</t>
  </si>
  <si>
    <t>Lateral(C-D) noise</t>
  </si>
  <si>
    <r>
      <rPr>
        <sz val="18"/>
        <color theme="1"/>
        <rFont val="Arial"/>
        <family val="2"/>
        <charset val="1"/>
      </rPr>
      <t xml:space="preserve">B100-NCH Calibration </t>
    </r>
    <r>
      <rPr>
        <sz val="18"/>
        <color theme="1"/>
        <rFont val="맑은 고딕"/>
        <family val="2"/>
        <charset val="129"/>
      </rPr>
      <t>후 측정</t>
    </r>
    <r>
      <rPr>
        <sz val="18"/>
        <color theme="1"/>
        <rFont val="Arial"/>
        <family val="2"/>
        <charset val="1"/>
      </rPr>
      <t xml:space="preserve">, Panel </t>
    </r>
    <r>
      <rPr>
        <sz val="18"/>
        <color theme="1"/>
        <rFont val="맑은 고딕"/>
        <family val="2"/>
        <charset val="129"/>
      </rPr>
      <t xml:space="preserve">장비는 </t>
    </r>
    <r>
      <rPr>
        <sz val="18"/>
        <color theme="1"/>
        <rFont val="Arial"/>
        <family val="2"/>
        <charset val="1"/>
      </rPr>
      <t xml:space="preserve">Max spec. </t>
    </r>
    <r>
      <rPr>
        <sz val="18"/>
        <color theme="1"/>
        <rFont val="맑은 고딕"/>
        <family val="2"/>
        <charset val="129"/>
      </rPr>
      <t>삭제</t>
    </r>
  </si>
  <si>
    <t>Min. Vibration Transmissbility (~100Hz)</t>
  </si>
  <si>
    <r>
      <rPr>
        <sz val="18"/>
        <color theme="1"/>
        <rFont val="Arial"/>
        <family val="2"/>
        <charset val="1"/>
      </rPr>
      <t>Floor vs AFM Base, Vario</t>
    </r>
    <r>
      <rPr>
        <sz val="18"/>
        <color theme="1"/>
        <rFont val="맑은 고딕"/>
        <family val="2"/>
        <charset val="129"/>
      </rPr>
      <t xml:space="preserve">사용시 </t>
    </r>
    <r>
      <rPr>
        <sz val="18"/>
        <color theme="1"/>
        <rFont val="Arial"/>
        <family val="2"/>
        <charset val="1"/>
      </rPr>
      <t xml:space="preserve">Max spec. 0.2, </t>
    </r>
    <r>
      <rPr>
        <sz val="18"/>
        <color theme="1"/>
        <rFont val="맑은 고딕"/>
        <family val="2"/>
        <charset val="129"/>
      </rPr>
      <t xml:space="preserve">그외는 </t>
    </r>
    <r>
      <rPr>
        <sz val="18"/>
        <color theme="1"/>
        <rFont val="Arial"/>
        <family val="2"/>
        <charset val="1"/>
      </rPr>
      <t xml:space="preserve">0.1, </t>
    </r>
    <r>
      <rPr>
        <sz val="18"/>
        <color theme="1"/>
        <rFont val="맑은 고딕"/>
        <family val="2"/>
        <charset val="129"/>
      </rPr>
      <t xml:space="preserve">진동센서 없는 경우 </t>
    </r>
    <r>
      <rPr>
        <sz val="18"/>
        <color theme="1"/>
        <rFont val="Arial"/>
        <family val="2"/>
        <charset val="1"/>
      </rPr>
      <t>N/A</t>
    </r>
  </si>
  <si>
    <t>☑</t>
  </si>
  <si>
    <t>System Noise
(NX-Wafer 200mm, w/o Sliding Stage, HDM, PTR)</t>
  </si>
  <si>
    <t>RMS of ZeroScan</t>
  </si>
  <si>
    <t>Z Drive(Long head), Z Height(standard head)</t>
  </si>
  <si>
    <t>AFM Head</t>
  </si>
  <si>
    <t>Beam intensity with AC160TS cantilever</t>
  </si>
  <si>
    <t>V</t>
  </si>
  <si>
    <t>Check if the driving % changes proportionally as the NCM amplitude changes</t>
  </si>
  <si>
    <r>
      <rPr>
        <sz val="18"/>
        <color theme="1"/>
        <rFont val="Arial"/>
        <family val="2"/>
        <charset val="1"/>
      </rPr>
      <t xml:space="preserve">Manual </t>
    </r>
    <r>
      <rPr>
        <sz val="18"/>
        <color theme="1"/>
        <rFont val="맑은 고딕"/>
        <family val="2"/>
        <charset val="129"/>
      </rPr>
      <t>참고</t>
    </r>
    <r>
      <rPr>
        <sz val="18"/>
        <color theme="1"/>
        <rFont val="Arial"/>
        <family val="2"/>
        <charset val="1"/>
      </rPr>
      <t xml:space="preserve">, Amp. 1nm, 20nm, 100nm </t>
    </r>
    <r>
      <rPr>
        <sz val="18"/>
        <color theme="1"/>
        <rFont val="맑은 고딕"/>
        <family val="2"/>
        <charset val="129"/>
      </rPr>
      <t>일때 확인</t>
    </r>
    <r>
      <rPr>
        <sz val="18"/>
        <color theme="1"/>
        <rFont val="Arial"/>
        <family val="2"/>
        <charset val="1"/>
      </rPr>
      <t xml:space="preserve">, </t>
    </r>
    <r>
      <rPr>
        <sz val="18"/>
        <color theme="1"/>
        <rFont val="맑은 고딕"/>
        <family val="2"/>
        <charset val="129"/>
      </rPr>
      <t xml:space="preserve">아래 값이 비례적으로 변하는지 확인한 후 </t>
    </r>
    <r>
      <rPr>
        <sz val="18"/>
        <color theme="1"/>
        <rFont val="Arial"/>
        <family val="2"/>
        <charset val="1"/>
      </rPr>
      <t xml:space="preserve">Yes </t>
    </r>
    <r>
      <rPr>
        <sz val="18"/>
        <color theme="1"/>
        <rFont val="맑은 고딕"/>
        <family val="2"/>
        <charset val="129"/>
      </rPr>
      <t>진행</t>
    </r>
  </si>
  <si>
    <t>NCM driving % at an amplitude of 1 nm</t>
  </si>
  <si>
    <r>
      <rPr>
        <sz val="18"/>
        <color theme="1"/>
        <rFont val="Arial"/>
        <family val="2"/>
        <charset val="1"/>
      </rPr>
      <t xml:space="preserve">liquid mode </t>
    </r>
    <r>
      <rPr>
        <sz val="18"/>
        <color theme="1"/>
        <rFont val="맑은 고딕"/>
        <family val="2"/>
        <charset val="129"/>
      </rPr>
      <t xml:space="preserve">활성화 확인 필요 및 </t>
    </r>
    <r>
      <rPr>
        <sz val="18"/>
        <color theme="1"/>
        <rFont val="Arial"/>
        <family val="2"/>
        <charset val="1"/>
      </rPr>
      <t>Amplitude 1nm</t>
    </r>
    <r>
      <rPr>
        <sz val="18"/>
        <color theme="1"/>
        <rFont val="맑은 고딕"/>
        <family val="2"/>
        <charset val="129"/>
      </rPr>
      <t xml:space="preserve">로 일때의 </t>
    </r>
    <r>
      <rPr>
        <sz val="18"/>
        <color theme="1"/>
        <rFont val="Arial"/>
        <family val="2"/>
        <charset val="1"/>
      </rPr>
      <t xml:space="preserve">Driving%, Capture </t>
    </r>
    <r>
      <rPr>
        <sz val="18"/>
        <color theme="1"/>
        <rFont val="맑은 고딕"/>
        <family val="2"/>
        <charset val="129"/>
      </rPr>
      <t>후 저장</t>
    </r>
  </si>
  <si>
    <t>NCM driving % at an amplitude of 20 nm</t>
  </si>
  <si>
    <r>
      <rPr>
        <sz val="18"/>
        <color theme="1"/>
        <rFont val="Arial"/>
        <family val="2"/>
        <charset val="1"/>
      </rPr>
      <t xml:space="preserve">liquid mode </t>
    </r>
    <r>
      <rPr>
        <sz val="18"/>
        <color theme="1"/>
        <rFont val="맑은 고딕"/>
        <family val="2"/>
        <charset val="129"/>
      </rPr>
      <t xml:space="preserve">활성화 확인 필요 및 </t>
    </r>
    <r>
      <rPr>
        <sz val="18"/>
        <color theme="1"/>
        <rFont val="Arial"/>
        <family val="2"/>
        <charset val="1"/>
      </rPr>
      <t>Amplitude 20nm</t>
    </r>
    <r>
      <rPr>
        <sz val="18"/>
        <color theme="1"/>
        <rFont val="맑은 고딕"/>
        <family val="2"/>
        <charset val="129"/>
      </rPr>
      <t xml:space="preserve">로 일때의 </t>
    </r>
    <r>
      <rPr>
        <sz val="18"/>
        <color theme="1"/>
        <rFont val="Arial"/>
        <family val="2"/>
        <charset val="1"/>
      </rPr>
      <t xml:space="preserve">Driving%, Capture </t>
    </r>
    <r>
      <rPr>
        <sz val="18"/>
        <color theme="1"/>
        <rFont val="맑은 고딕"/>
        <family val="2"/>
        <charset val="129"/>
      </rPr>
      <t>후 저장</t>
    </r>
  </si>
  <si>
    <t>NCM driving % at an amplitude of 100 nm</t>
  </si>
  <si>
    <r>
      <rPr>
        <sz val="18"/>
        <color theme="1"/>
        <rFont val="Arial"/>
        <family val="2"/>
        <charset val="1"/>
      </rPr>
      <t xml:space="preserve">liquid mode </t>
    </r>
    <r>
      <rPr>
        <sz val="18"/>
        <color theme="1"/>
        <rFont val="맑은 고딕"/>
        <family val="2"/>
        <charset val="129"/>
      </rPr>
      <t xml:space="preserve">활성화 확인 필요 및 </t>
    </r>
    <r>
      <rPr>
        <sz val="18"/>
        <color theme="1"/>
        <rFont val="Arial"/>
        <family val="2"/>
        <charset val="1"/>
      </rPr>
      <t>Amplitude 100nm</t>
    </r>
    <r>
      <rPr>
        <sz val="18"/>
        <color theme="1"/>
        <rFont val="맑은 고딕"/>
        <family val="2"/>
        <charset val="129"/>
      </rPr>
      <t xml:space="preserve">로 일때의 </t>
    </r>
    <r>
      <rPr>
        <sz val="18"/>
        <color theme="1"/>
        <rFont val="Arial"/>
        <family val="2"/>
        <charset val="1"/>
      </rPr>
      <t xml:space="preserve">Driving%, Capture </t>
    </r>
    <r>
      <rPr>
        <sz val="18"/>
        <color theme="1"/>
        <rFont val="맑은 고딕"/>
        <family val="2"/>
        <charset val="129"/>
      </rPr>
      <t>후 저장</t>
    </r>
  </si>
  <si>
    <t>Check Z-height non-linearity correction</t>
  </si>
  <si>
    <t>Specification of Step Height Sample for Z Linearity by Z scanner position test</t>
  </si>
  <si>
    <t>461.2±2.8</t>
  </si>
  <si>
    <r>
      <rPr>
        <sz val="18"/>
        <color theme="1"/>
        <rFont val="맑은 고딕"/>
        <family val="2"/>
        <charset val="129"/>
      </rPr>
      <t>아래 측정</t>
    </r>
    <r>
      <rPr>
        <sz val="18"/>
        <color theme="1"/>
        <rFont val="Arial"/>
        <family val="2"/>
        <charset val="1"/>
      </rPr>
      <t xml:space="preserve">(Z Linearity by Z scanner position test) </t>
    </r>
    <r>
      <rPr>
        <sz val="18"/>
        <color theme="1"/>
        <rFont val="맑은 고딕"/>
        <family val="2"/>
        <charset val="129"/>
      </rPr>
      <t xml:space="preserve">에 사용하는 </t>
    </r>
    <r>
      <rPr>
        <sz val="18"/>
        <color theme="1"/>
        <rFont val="Arial"/>
        <family val="2"/>
        <charset val="1"/>
      </rPr>
      <t xml:space="preserve">Sample(450nm) spec </t>
    </r>
    <r>
      <rPr>
        <sz val="18"/>
        <color theme="1"/>
        <rFont val="맑은 고딕"/>
        <family val="2"/>
        <charset val="129"/>
      </rPr>
      <t xml:space="preserve">기입 </t>
    </r>
    <r>
      <rPr>
        <sz val="18"/>
        <color theme="1"/>
        <rFont val="Arial"/>
        <family val="2"/>
        <charset val="1"/>
      </rPr>
      <t>ex)450 ± 2.0nm</t>
    </r>
  </si>
  <si>
    <t>Z Linearity by Z scanner position</t>
  </si>
  <si>
    <r>
      <rPr>
        <sz val="18"/>
        <color theme="1"/>
        <rFont val="Arial"/>
        <family val="2"/>
        <charset val="1"/>
      </rPr>
      <t xml:space="preserve">Z non-linearity corrction test </t>
    </r>
    <r>
      <rPr>
        <sz val="18"/>
        <color theme="1"/>
        <rFont val="맑은 고딕"/>
        <family val="2"/>
        <charset val="129"/>
      </rPr>
      <t>값으로 사용</t>
    </r>
    <r>
      <rPr>
        <sz val="18"/>
        <color theme="1"/>
        <rFont val="Arial"/>
        <family val="2"/>
        <charset val="1"/>
      </rPr>
      <t>, Long head(2%) : Z scannner position -6,0,+6, Standard head(2%) : Z scannner position -3,0,+3</t>
    </r>
  </si>
  <si>
    <t>Full range of Z Detector during Z Scan sweep</t>
  </si>
  <si>
    <r>
      <rPr>
        <sz val="18"/>
        <color theme="1"/>
        <rFont val="Arial"/>
        <family val="2"/>
        <charset val="1"/>
      </rPr>
      <t xml:space="preserve">servo off, TSH </t>
    </r>
    <r>
      <rPr>
        <sz val="18"/>
        <color theme="1"/>
        <rFont val="맑은 고딕"/>
        <family val="2"/>
        <charset val="129"/>
      </rPr>
      <t xml:space="preserve">인경우 </t>
    </r>
    <r>
      <rPr>
        <sz val="18"/>
        <color theme="1"/>
        <rFont val="Arial"/>
        <family val="2"/>
        <charset val="1"/>
      </rPr>
      <t>MIN11.8, MAX15.4</t>
    </r>
  </si>
  <si>
    <t xml:space="preserve">Perform AD calibration and verify the sensitivity value </t>
  </si>
  <si>
    <r>
      <rPr>
        <sz val="18"/>
        <color theme="1"/>
        <rFont val="Arial"/>
        <family val="2"/>
        <charset val="1"/>
      </rPr>
      <t>AC160TS</t>
    </r>
    <r>
      <rPr>
        <sz val="18"/>
        <color theme="1"/>
        <rFont val="맑은 고딕"/>
        <family val="2"/>
        <charset val="129"/>
      </rPr>
      <t xml:space="preserve">로 </t>
    </r>
    <r>
      <rPr>
        <sz val="18"/>
        <color theme="1"/>
        <rFont val="Arial"/>
        <family val="2"/>
        <charset val="1"/>
      </rPr>
      <t>MicrometerPerErrorSignalAdc(A-B Sensitivity)</t>
    </r>
    <r>
      <rPr>
        <sz val="18"/>
        <color theme="1"/>
        <rFont val="맑은 고딕"/>
        <family val="2"/>
        <charset val="129"/>
      </rPr>
      <t xml:space="preserve">가 </t>
    </r>
    <r>
      <rPr>
        <sz val="18"/>
        <color theme="1"/>
        <rFont val="Arial"/>
        <family val="2"/>
        <charset val="1"/>
      </rPr>
      <t>0.2</t>
    </r>
    <r>
      <rPr>
        <sz val="18"/>
        <color theme="1"/>
        <rFont val="맑은 고딕"/>
        <family val="2"/>
        <charset val="129"/>
      </rPr>
      <t xml:space="preserve">일때 </t>
    </r>
    <r>
      <rPr>
        <sz val="18"/>
        <color theme="1"/>
        <rFont val="Arial"/>
        <family val="2"/>
        <charset val="1"/>
      </rPr>
      <t xml:space="preserve">AD Cal </t>
    </r>
    <r>
      <rPr>
        <sz val="18"/>
        <color theme="1"/>
        <rFont val="맑은 고딕"/>
        <family val="2"/>
        <charset val="129"/>
      </rPr>
      <t xml:space="preserve">진행하여 </t>
    </r>
    <r>
      <rPr>
        <sz val="18"/>
        <color theme="1"/>
        <rFont val="Arial"/>
        <family val="2"/>
        <charset val="1"/>
      </rPr>
      <t>Sensitivity</t>
    </r>
    <r>
      <rPr>
        <sz val="18"/>
        <color theme="1"/>
        <rFont val="맑은 고딕"/>
        <family val="2"/>
        <charset val="129"/>
      </rPr>
      <t xml:space="preserve">값이 </t>
    </r>
    <r>
      <rPr>
        <sz val="18"/>
        <color theme="1"/>
        <rFont val="Arial"/>
        <family val="2"/>
        <charset val="1"/>
      </rPr>
      <t>1±0.1</t>
    </r>
    <r>
      <rPr>
        <sz val="18"/>
        <color theme="1"/>
        <rFont val="맑은 고딕"/>
        <family val="2"/>
        <charset val="129"/>
      </rPr>
      <t>안에 드는지 확인</t>
    </r>
  </si>
  <si>
    <t>AFM Head(Auto Align)</t>
  </si>
  <si>
    <t xml:space="preserve">A-B after Auto PSPD Alignment </t>
  </si>
  <si>
    <t>AFM Head(Long)</t>
  </si>
  <si>
    <t>Full range of Z Height during Z Scan sweep</t>
  </si>
  <si>
    <t>um</t>
  </si>
  <si>
    <t>servo off</t>
  </si>
  <si>
    <t>Z Height noise</t>
  </si>
  <si>
    <t>Z Linearity by 4 different sample height</t>
  </si>
  <si>
    <t xml:space="preserve">4 different Step Height Sample </t>
  </si>
  <si>
    <t xml:space="preserve">  - 940nm Step Height Sample (10 Repeats) </t>
  </si>
  <si>
    <r>
      <rPr>
        <sz val="18"/>
        <color theme="1"/>
        <rFont val="Arial"/>
        <family val="2"/>
        <charset val="1"/>
      </rPr>
      <t>Z scanner Recipe</t>
    </r>
    <r>
      <rPr>
        <sz val="18"/>
        <color theme="1"/>
        <rFont val="맑은 고딕"/>
        <family val="2"/>
        <charset val="129"/>
      </rPr>
      <t>사용</t>
    </r>
    <r>
      <rPr>
        <sz val="18"/>
        <color theme="1"/>
        <rFont val="Arial"/>
        <family val="2"/>
        <charset val="1"/>
      </rPr>
      <t>, Sample spec Criteria</t>
    </r>
    <r>
      <rPr>
        <sz val="18"/>
        <color theme="1"/>
        <rFont val="맑은 고딕"/>
        <family val="2"/>
        <charset val="129"/>
      </rPr>
      <t>에 기입</t>
    </r>
    <r>
      <rPr>
        <sz val="18"/>
        <color theme="1"/>
        <rFont val="Arial"/>
        <family val="2"/>
        <charset val="1"/>
      </rPr>
      <t xml:space="preserve">, </t>
    </r>
    <r>
      <rPr>
        <sz val="18"/>
        <color theme="1"/>
        <rFont val="맑은 고딕"/>
        <family val="2"/>
        <charset val="129"/>
      </rPr>
      <t xml:space="preserve">측정 </t>
    </r>
    <r>
      <rPr>
        <sz val="18"/>
        <color theme="1"/>
        <rFont val="Arial"/>
        <family val="2"/>
        <charset val="1"/>
      </rPr>
      <t xml:space="preserve">Sample spec </t>
    </r>
    <r>
      <rPr>
        <sz val="18"/>
        <color theme="1"/>
        <rFont val="맑은 고딕"/>
        <family val="2"/>
        <charset val="129"/>
      </rPr>
      <t>정확히 기입</t>
    </r>
  </si>
  <si>
    <t xml:space="preserve">  - 200~500nm Step Height Sample (10 Repeats) </t>
  </si>
  <si>
    <t xml:space="preserve">  - 50~200nm Step Height Sample (10 Repeats) </t>
  </si>
  <si>
    <t xml:space="preserve">  - Under 50nm Step Height Sample (10 Repeats) </t>
  </si>
  <si>
    <t>Focus Stage</t>
  </si>
  <si>
    <t xml:space="preserve">OpticalAxisShiftPerFocusX </t>
  </si>
  <si>
    <t>OpticalAxisShiftPerFocusY</t>
  </si>
  <si>
    <t>OpticalAxisShiftPerFocusX repeatability (10repeats, 1σ)</t>
  </si>
  <si>
    <t>OpticalAxisShiftPerFocusY repeatability (10repeats, 1σ)</t>
  </si>
  <si>
    <t>Sample Chuck</t>
  </si>
  <si>
    <t>Check sample surface mapping</t>
  </si>
  <si>
    <t>N/A</t>
  </si>
  <si>
    <r>
      <rPr>
        <sz val="18"/>
        <color theme="1"/>
        <rFont val="Arial"/>
        <family val="2"/>
        <charset val="1"/>
      </rPr>
      <t>Sliding Stage</t>
    </r>
    <r>
      <rPr>
        <sz val="18"/>
        <color theme="1"/>
        <rFont val="맑은 고딕"/>
        <family val="2"/>
        <charset val="129"/>
      </rPr>
      <t xml:space="preserve">없는 경우 </t>
    </r>
    <r>
      <rPr>
        <sz val="18"/>
        <color theme="1"/>
        <rFont val="Arial"/>
        <family val="2"/>
        <charset val="1"/>
      </rPr>
      <t>N/A(Overlay</t>
    </r>
    <r>
      <rPr>
        <sz val="18"/>
        <color theme="1"/>
        <rFont val="맑은 고딕"/>
        <family val="2"/>
        <charset val="129"/>
      </rPr>
      <t>제외</t>
    </r>
    <r>
      <rPr>
        <sz val="18"/>
        <color theme="1"/>
        <rFont val="Arial"/>
        <family val="2"/>
        <charset val="1"/>
      </rPr>
      <t xml:space="preserve">, (Overlay Spec. 50 µm)), Sim tape </t>
    </r>
    <r>
      <rPr>
        <sz val="18"/>
        <color theme="1"/>
        <rFont val="맑은 고딕"/>
        <family val="2"/>
        <charset val="129"/>
      </rPr>
      <t xml:space="preserve">작업 후 진행 </t>
    </r>
    <r>
      <rPr>
        <sz val="18"/>
        <color theme="1"/>
        <rFont val="Arial"/>
        <family val="2"/>
        <charset val="1"/>
      </rPr>
      <t xml:space="preserve">(Spec: &lt;30 µm(@300 mm, Anti-warpage chuck) / </t>
    </r>
    <r>
      <rPr>
        <sz val="18"/>
        <color theme="1"/>
        <rFont val="맑은 고딕"/>
        <family val="2"/>
        <charset val="129"/>
      </rPr>
      <t xml:space="preserve">그 외 및 </t>
    </r>
    <r>
      <rPr>
        <sz val="18"/>
        <color theme="1"/>
        <rFont val="Arial"/>
        <family val="2"/>
        <charset val="1"/>
      </rPr>
      <t xml:space="preserve">Wafer+R-Stage </t>
    </r>
    <r>
      <rPr>
        <sz val="18"/>
        <color theme="1"/>
        <rFont val="맑은 고딕"/>
        <family val="2"/>
        <charset val="129"/>
      </rPr>
      <t xml:space="preserve">사용 시 </t>
    </r>
    <r>
      <rPr>
        <sz val="18"/>
        <color theme="1"/>
        <rFont val="Arial"/>
        <family val="2"/>
        <charset val="1"/>
      </rPr>
      <t>&lt;50 µm)</t>
    </r>
  </si>
  <si>
    <t>Vision</t>
  </si>
  <si>
    <t>Check the Vision brightness calibration</t>
  </si>
  <si>
    <t>LightStrengthGain</t>
  </si>
  <si>
    <r>
      <rPr>
        <sz val="18"/>
        <color theme="1"/>
        <rFont val="Arial"/>
        <family val="2"/>
        <charset val="1"/>
      </rPr>
      <t xml:space="preserve">Vision brightness cal </t>
    </r>
    <r>
      <rPr>
        <sz val="18"/>
        <color theme="1"/>
        <rFont val="맑은 고딕"/>
        <family val="2"/>
        <charset val="129"/>
      </rPr>
      <t xml:space="preserve">후 </t>
    </r>
    <r>
      <rPr>
        <sz val="18"/>
        <color theme="1"/>
        <rFont val="Arial"/>
        <family val="2"/>
        <charset val="1"/>
      </rPr>
      <t xml:space="preserve">DB </t>
    </r>
    <r>
      <rPr>
        <sz val="18"/>
        <color theme="1"/>
        <rFont val="맑은 고딕"/>
        <family val="2"/>
        <charset val="129"/>
      </rPr>
      <t xml:space="preserve">값 기입 </t>
    </r>
    <r>
      <rPr>
        <sz val="18"/>
        <color theme="1"/>
        <rFont val="Arial"/>
        <family val="2"/>
        <charset val="1"/>
      </rPr>
      <t xml:space="preserve">Vision-Camera-LightStrengthGain, Cal </t>
    </r>
    <r>
      <rPr>
        <sz val="18"/>
        <color theme="1"/>
        <rFont val="맑은 고딕"/>
        <family val="2"/>
        <charset val="129"/>
      </rPr>
      <t xml:space="preserve">값 기입 후 출고시 </t>
    </r>
    <r>
      <rPr>
        <sz val="18"/>
        <color theme="1"/>
        <rFont val="Arial"/>
        <family val="2"/>
        <charset val="1"/>
      </rPr>
      <t>1</t>
    </r>
    <r>
      <rPr>
        <sz val="18"/>
        <color theme="1"/>
        <rFont val="맑은 고딕"/>
        <family val="2"/>
        <charset val="129"/>
      </rPr>
      <t>로 설정해서 출하</t>
    </r>
  </si>
  <si>
    <t>XY Scanner</t>
  </si>
  <si>
    <t>Full range of X Detector during X Scan sweep</t>
  </si>
  <si>
    <t>Full range of X1 Detector during X Scan sweep</t>
  </si>
  <si>
    <t>Full range of X2 Detector during X Scan sweep</t>
  </si>
  <si>
    <t>Full range of Y Detector during Y Scan sweep</t>
  </si>
  <si>
    <t>Full range of Y1 Detector during Y Scan sweep</t>
  </si>
  <si>
    <t>Full range of Y2 Detector during Y Scan sweep</t>
  </si>
  <si>
    <t>Full range of X1 Detector Raw during X Scan sweep</t>
  </si>
  <si>
    <t>Full range of X2 Detector Raw during X Scan sweep</t>
  </si>
  <si>
    <t>Full range of Y1 Detector Raw during Y Scan sweep</t>
  </si>
  <si>
    <t>Full range of Y2 Detector Raw during Y Scan sweep</t>
  </si>
  <si>
    <t>XY Orthogonality</t>
  </si>
  <si>
    <t>degree</t>
  </si>
  <si>
    <r>
      <rPr>
        <sz val="18"/>
        <color theme="1"/>
        <rFont val="Arial"/>
        <family val="2"/>
        <charset val="1"/>
      </rPr>
      <t>Full stroke image</t>
    </r>
    <r>
      <rPr>
        <sz val="18"/>
        <color theme="1"/>
        <rFont val="맑은 고딕"/>
        <family val="2"/>
        <charset val="129"/>
      </rPr>
      <t xml:space="preserve">의 </t>
    </r>
    <r>
      <rPr>
        <sz val="18"/>
        <color theme="1"/>
        <rFont val="Arial"/>
        <family val="2"/>
        <charset val="1"/>
      </rPr>
      <t xml:space="preserve">ortho </t>
    </r>
    <r>
      <rPr>
        <sz val="18"/>
        <color theme="1"/>
        <rFont val="맑은 고딕"/>
        <family val="2"/>
        <charset val="129"/>
      </rPr>
      <t>확인</t>
    </r>
  </si>
  <si>
    <t>X Non-linearity error</t>
  </si>
  <si>
    <t>Y Non-linearity error</t>
  </si>
  <si>
    <t>X axis OPM</t>
  </si>
  <si>
    <t>@80x80um</t>
  </si>
  <si>
    <t xml:space="preserve">Y axis OPM </t>
  </si>
  <si>
    <t>Check the full stroke image(servo on)</t>
  </si>
  <si>
    <r>
      <rPr>
        <sz val="18"/>
        <color theme="1"/>
        <rFont val="Arial"/>
        <family val="2"/>
        <charset val="1"/>
      </rPr>
      <t xml:space="preserve">scan size : 100x100um, overscan : 0%, </t>
    </r>
    <r>
      <rPr>
        <sz val="18"/>
        <color theme="1"/>
        <rFont val="맑은 고딕"/>
        <family val="2"/>
        <charset val="129"/>
      </rPr>
      <t xml:space="preserve">이미지 측정하여 왜곡 확인 </t>
    </r>
    <r>
      <rPr>
        <sz val="18"/>
        <color theme="1"/>
        <rFont val="Arial"/>
        <family val="2"/>
        <charset val="1"/>
      </rPr>
      <t xml:space="preserve">(orthogonality </t>
    </r>
    <r>
      <rPr>
        <sz val="18"/>
        <color theme="1"/>
        <rFont val="맑은 고딕"/>
        <family val="2"/>
        <charset val="129"/>
      </rPr>
      <t xml:space="preserve">측정시랑 같은 조건으로 </t>
    </r>
    <r>
      <rPr>
        <sz val="18"/>
        <color theme="1"/>
        <rFont val="Arial"/>
        <family val="2"/>
        <charset val="1"/>
      </rPr>
      <t xml:space="preserve">scan size </t>
    </r>
    <r>
      <rPr>
        <sz val="18"/>
        <color theme="1"/>
        <rFont val="맑은 고딕"/>
        <family val="2"/>
        <charset val="129"/>
      </rPr>
      <t xml:space="preserve">및 </t>
    </r>
    <r>
      <rPr>
        <sz val="18"/>
        <color theme="1"/>
        <rFont val="Arial"/>
        <family val="2"/>
        <charset val="1"/>
      </rPr>
      <t xml:space="preserve">overscan </t>
    </r>
    <r>
      <rPr>
        <sz val="18"/>
        <color theme="1"/>
        <rFont val="맑은 고딕"/>
        <family val="2"/>
        <charset val="129"/>
      </rPr>
      <t>만 변경</t>
    </r>
    <r>
      <rPr>
        <sz val="18"/>
        <color theme="1"/>
        <rFont val="Arial"/>
        <family val="2"/>
        <charset val="1"/>
      </rPr>
      <t>)</t>
    </r>
  </si>
  <si>
    <t>X Ringing(Rpv)</t>
  </si>
  <si>
    <r>
      <rPr>
        <sz val="18"/>
        <color theme="1"/>
        <rFont val="Arial"/>
        <family val="2"/>
        <charset val="1"/>
      </rPr>
      <t>Recipe</t>
    </r>
    <r>
      <rPr>
        <sz val="18"/>
        <color theme="1"/>
        <rFont val="맑은 고딕"/>
        <family val="2"/>
        <charset val="129"/>
      </rPr>
      <t>사용</t>
    </r>
  </si>
  <si>
    <t>Y Ringing(Rpv)</t>
  </si>
  <si>
    <t>X Detector noise (XY Servo on)</t>
  </si>
  <si>
    <r>
      <rPr>
        <sz val="18"/>
        <color theme="1"/>
        <rFont val="Arial"/>
        <family val="2"/>
        <charset val="1"/>
      </rPr>
      <t xml:space="preserve">Anti-warpage </t>
    </r>
    <r>
      <rPr>
        <sz val="18"/>
        <color theme="1"/>
        <rFont val="맑은 고딕"/>
        <family val="2"/>
        <charset val="129"/>
      </rPr>
      <t xml:space="preserve">샘플척은 </t>
    </r>
    <r>
      <rPr>
        <sz val="18"/>
        <color theme="1"/>
        <rFont val="Arial"/>
        <family val="2"/>
        <charset val="1"/>
      </rPr>
      <t xml:space="preserve">0.5, </t>
    </r>
    <r>
      <rPr>
        <sz val="18"/>
        <color theme="1"/>
        <rFont val="맑은 고딕"/>
        <family val="2"/>
        <charset val="129"/>
      </rPr>
      <t xml:space="preserve">그외는 </t>
    </r>
    <r>
      <rPr>
        <sz val="18"/>
        <color theme="1"/>
        <rFont val="Arial"/>
        <family val="2"/>
        <charset val="1"/>
      </rPr>
      <t>0.4</t>
    </r>
  </si>
  <si>
    <t>Y Detector noise (XY Servo on)</t>
  </si>
  <si>
    <r>
      <rPr>
        <sz val="18"/>
        <color theme="1"/>
        <rFont val="Arial"/>
        <family val="2"/>
        <charset val="1"/>
      </rPr>
      <t xml:space="preserve">Anti-warpage </t>
    </r>
    <r>
      <rPr>
        <sz val="18"/>
        <color theme="1"/>
        <rFont val="맑은 고딕"/>
        <family val="2"/>
        <charset val="129"/>
      </rPr>
      <t xml:space="preserve">샘플척은 </t>
    </r>
    <r>
      <rPr>
        <sz val="18"/>
        <color theme="1"/>
        <rFont val="Arial"/>
        <family val="2"/>
        <charset val="1"/>
      </rPr>
      <t xml:space="preserve">0.6, </t>
    </r>
    <r>
      <rPr>
        <sz val="18"/>
        <color theme="1"/>
        <rFont val="맑은 고딕"/>
        <family val="2"/>
        <charset val="129"/>
      </rPr>
      <t xml:space="preserve">그외는 </t>
    </r>
    <r>
      <rPr>
        <sz val="18"/>
        <color theme="1"/>
        <rFont val="Arial"/>
        <family val="2"/>
        <charset val="1"/>
      </rPr>
      <t>0.4</t>
    </r>
  </si>
  <si>
    <t>X1 Detector noise (XY Servo on)</t>
  </si>
  <si>
    <r>
      <rPr>
        <sz val="18"/>
        <color theme="1"/>
        <rFont val="Arial"/>
        <family val="2"/>
        <charset val="1"/>
      </rPr>
      <t xml:space="preserve">Anti-warpage </t>
    </r>
    <r>
      <rPr>
        <sz val="18"/>
        <color theme="1"/>
        <rFont val="맑은 고딕"/>
        <family val="2"/>
        <charset val="129"/>
      </rPr>
      <t xml:space="preserve">샘플척은 </t>
    </r>
    <r>
      <rPr>
        <sz val="18"/>
        <color theme="1"/>
        <rFont val="Arial"/>
        <family val="2"/>
        <charset val="1"/>
      </rPr>
      <t xml:space="preserve">0.6, </t>
    </r>
    <r>
      <rPr>
        <sz val="18"/>
        <color theme="1"/>
        <rFont val="맑은 고딕"/>
        <family val="2"/>
        <charset val="129"/>
      </rPr>
      <t xml:space="preserve">그외는 </t>
    </r>
    <r>
      <rPr>
        <sz val="18"/>
        <color theme="1"/>
        <rFont val="Arial"/>
        <family val="2"/>
        <charset val="1"/>
      </rPr>
      <t>0.5</t>
    </r>
  </si>
  <si>
    <t>Y1 Detector noise (XY Servo on)</t>
  </si>
  <si>
    <r>
      <rPr>
        <sz val="18"/>
        <color theme="1"/>
        <rFont val="Arial"/>
        <family val="2"/>
        <charset val="1"/>
      </rPr>
      <t xml:space="preserve">Anti-warpage </t>
    </r>
    <r>
      <rPr>
        <sz val="18"/>
        <color theme="1"/>
        <rFont val="맑은 고딕"/>
        <family val="2"/>
        <charset val="129"/>
      </rPr>
      <t xml:space="preserve">샘플척은 </t>
    </r>
    <r>
      <rPr>
        <sz val="18"/>
        <color theme="1"/>
        <rFont val="Arial"/>
        <family val="2"/>
        <charset val="1"/>
      </rPr>
      <t xml:space="preserve">0.7, </t>
    </r>
    <r>
      <rPr>
        <sz val="18"/>
        <color theme="1"/>
        <rFont val="맑은 고딕"/>
        <family val="2"/>
        <charset val="129"/>
      </rPr>
      <t xml:space="preserve">그외는 </t>
    </r>
    <r>
      <rPr>
        <sz val="18"/>
        <color theme="1"/>
        <rFont val="Arial"/>
        <family val="2"/>
        <charset val="1"/>
      </rPr>
      <t>0.5</t>
    </r>
  </si>
  <si>
    <t>X2 Detector noise (XY Servo on)</t>
  </si>
  <si>
    <t>Y2 Detector noise (XY Servo on)</t>
  </si>
  <si>
    <t>ResonanceFrequencyHz</t>
  </si>
  <si>
    <t>Hz</t>
  </si>
  <si>
    <r>
      <rPr>
        <sz val="18"/>
        <color theme="1"/>
        <rFont val="Arial"/>
        <family val="2"/>
        <charset val="1"/>
      </rPr>
      <t>200mm XY Scanner</t>
    </r>
    <r>
      <rPr>
        <sz val="18"/>
        <color theme="1"/>
        <rFont val="맑은 고딕"/>
        <family val="2"/>
        <charset val="129"/>
      </rPr>
      <t xml:space="preserve">는 </t>
    </r>
    <r>
      <rPr>
        <sz val="18"/>
        <color theme="1"/>
        <rFont val="Arial"/>
        <family val="2"/>
        <charset val="1"/>
      </rPr>
      <t>200, 300mm XY Scanner</t>
    </r>
    <r>
      <rPr>
        <sz val="18"/>
        <color theme="1"/>
        <rFont val="맑은 고딕"/>
        <family val="2"/>
        <charset val="129"/>
      </rPr>
      <t xml:space="preserve">는 </t>
    </r>
    <r>
      <rPr>
        <sz val="18"/>
        <color theme="1"/>
        <rFont val="Arial"/>
        <family val="2"/>
        <charset val="1"/>
      </rPr>
      <t>160</t>
    </r>
  </si>
  <si>
    <t>ServoCutoffFrequencyHz</t>
  </si>
  <si>
    <r>
      <rPr>
        <sz val="18"/>
        <color theme="1"/>
        <rFont val="Arial"/>
        <family val="2"/>
        <charset val="1"/>
      </rPr>
      <t>200mm XY Scanner</t>
    </r>
    <r>
      <rPr>
        <sz val="18"/>
        <color theme="1"/>
        <rFont val="맑은 고딕"/>
        <family val="2"/>
        <charset val="129"/>
      </rPr>
      <t xml:space="preserve">는 </t>
    </r>
    <r>
      <rPr>
        <sz val="18"/>
        <color theme="1"/>
        <rFont val="Arial"/>
        <family val="2"/>
        <charset val="1"/>
      </rPr>
      <t>80,  300mm XY Scanner</t>
    </r>
    <r>
      <rPr>
        <sz val="18"/>
        <color theme="1"/>
        <rFont val="맑은 고딕"/>
        <family val="2"/>
        <charset val="129"/>
      </rPr>
      <t xml:space="preserve">는 </t>
    </r>
    <r>
      <rPr>
        <sz val="18"/>
        <color theme="1"/>
        <rFont val="Arial"/>
        <family val="2"/>
        <charset val="1"/>
      </rPr>
      <t>50</t>
    </r>
  </si>
  <si>
    <t>XY Stage</t>
  </si>
  <si>
    <t>Image offset after moving from -X to +X (X scan)</t>
  </si>
  <si>
    <r>
      <rPr>
        <sz val="18"/>
        <color theme="1"/>
        <rFont val="Arial"/>
        <family val="2"/>
        <charset val="1"/>
      </rPr>
      <t>Plus direction move Drift, X move X Scan(XX) 700sec, HDM/PSS</t>
    </r>
    <r>
      <rPr>
        <sz val="18"/>
        <color theme="1"/>
        <rFont val="맑은 고딕"/>
        <family val="2"/>
        <charset val="129"/>
      </rPr>
      <t xml:space="preserve">는 </t>
    </r>
    <r>
      <rPr>
        <sz val="18"/>
        <color theme="1"/>
        <rFont val="Arial"/>
        <family val="2"/>
        <charset val="1"/>
      </rPr>
      <t xml:space="preserve">N/A </t>
    </r>
  </si>
  <si>
    <t>Image offset after moving from -X to +X (Y scan)</t>
  </si>
  <si>
    <r>
      <rPr>
        <sz val="18"/>
        <color theme="1"/>
        <rFont val="Arial"/>
        <family val="2"/>
        <charset val="1"/>
      </rPr>
      <t>Plus direction move Drift, X move Y Scan(XY) 700sec, HDM/PSS</t>
    </r>
    <r>
      <rPr>
        <sz val="18"/>
        <color theme="1"/>
        <rFont val="맑은 고딕"/>
        <family val="2"/>
        <charset val="129"/>
      </rPr>
      <t xml:space="preserve">는 </t>
    </r>
    <r>
      <rPr>
        <sz val="18"/>
        <color theme="1"/>
        <rFont val="Arial"/>
        <family val="2"/>
        <charset val="1"/>
      </rPr>
      <t>N/A</t>
    </r>
  </si>
  <si>
    <t>Image offset after moving from -Y to +Y (Y scan)</t>
  </si>
  <si>
    <r>
      <rPr>
        <sz val="18"/>
        <color theme="1"/>
        <rFont val="Arial"/>
        <family val="2"/>
        <charset val="1"/>
      </rPr>
      <t>Plus direction move Drift, Y move Y Scan(YY) 700sec, HDM/PSS</t>
    </r>
    <r>
      <rPr>
        <sz val="18"/>
        <color theme="1"/>
        <rFont val="맑은 고딕"/>
        <family val="2"/>
        <charset val="129"/>
      </rPr>
      <t xml:space="preserve">는 </t>
    </r>
    <r>
      <rPr>
        <sz val="18"/>
        <color theme="1"/>
        <rFont val="Arial"/>
        <family val="2"/>
        <charset val="1"/>
      </rPr>
      <t>N/A</t>
    </r>
  </si>
  <si>
    <t>Image offset after moving from -Y to +Y (X scan)</t>
  </si>
  <si>
    <r>
      <rPr>
        <sz val="18"/>
        <color theme="1"/>
        <rFont val="Arial"/>
        <family val="2"/>
        <charset val="1"/>
      </rPr>
      <t>Plus direction move Drift, Y move X Scan(YX) 700sec, HDM/PSS</t>
    </r>
    <r>
      <rPr>
        <sz val="18"/>
        <color theme="1"/>
        <rFont val="맑은 고딕"/>
        <family val="2"/>
        <charset val="129"/>
      </rPr>
      <t xml:space="preserve">는 </t>
    </r>
    <r>
      <rPr>
        <sz val="18"/>
        <color theme="1"/>
        <rFont val="Arial"/>
        <family val="2"/>
        <charset val="1"/>
      </rPr>
      <t>N/A</t>
    </r>
  </si>
  <si>
    <t>Image offset after moving from +X to -X (X scan)</t>
  </si>
  <si>
    <r>
      <rPr>
        <sz val="18"/>
        <color theme="1"/>
        <rFont val="Arial"/>
        <family val="2"/>
        <charset val="1"/>
      </rPr>
      <t>Minus direction move Drift, X move X Scan(XX) 700sec, HDM/PSS</t>
    </r>
    <r>
      <rPr>
        <sz val="18"/>
        <color theme="1"/>
        <rFont val="맑은 고딕"/>
        <family val="2"/>
        <charset val="129"/>
      </rPr>
      <t xml:space="preserve">는 </t>
    </r>
    <r>
      <rPr>
        <sz val="18"/>
        <color theme="1"/>
        <rFont val="Arial"/>
        <family val="2"/>
        <charset val="1"/>
      </rPr>
      <t>N/A</t>
    </r>
  </si>
  <si>
    <t>Image offset after moving from +Y to -Y (Y scan)</t>
  </si>
  <si>
    <r>
      <rPr>
        <sz val="18"/>
        <color theme="1"/>
        <rFont val="Arial"/>
        <family val="2"/>
        <charset val="1"/>
      </rPr>
      <t>Minus direction move Drift, Y move Y Scan(YY) 700sec, HDM/PSS</t>
    </r>
    <r>
      <rPr>
        <sz val="18"/>
        <color theme="1"/>
        <rFont val="맑은 고딕"/>
        <family val="2"/>
        <charset val="129"/>
      </rPr>
      <t xml:space="preserve">는 </t>
    </r>
    <r>
      <rPr>
        <sz val="18"/>
        <color theme="1"/>
        <rFont val="Arial"/>
        <family val="2"/>
        <charset val="1"/>
      </rPr>
      <t>N/A</t>
    </r>
  </si>
  <si>
    <t>Image offset after moving from +X to -X (Y scan)</t>
  </si>
  <si>
    <r>
      <rPr>
        <sz val="18"/>
        <color theme="1"/>
        <rFont val="Arial"/>
        <family val="2"/>
        <charset val="1"/>
      </rPr>
      <t>Minus direction move Drift, X move Y Scan(XY) 700sec, HDM/PSS</t>
    </r>
    <r>
      <rPr>
        <sz val="18"/>
        <color theme="1"/>
        <rFont val="맑은 고딕"/>
        <family val="2"/>
        <charset val="129"/>
      </rPr>
      <t xml:space="preserve">는 </t>
    </r>
    <r>
      <rPr>
        <sz val="18"/>
        <color theme="1"/>
        <rFont val="Arial"/>
        <family val="2"/>
        <charset val="1"/>
      </rPr>
      <t>N/A</t>
    </r>
  </si>
  <si>
    <t>Image offset after moving from +Y to -Y (X scan)</t>
  </si>
  <si>
    <r>
      <rPr>
        <sz val="18"/>
        <color theme="1"/>
        <rFont val="Arial"/>
        <family val="2"/>
        <charset val="1"/>
      </rPr>
      <t>Minus direction move Drift, Y move X Scan(YX) 700sec, HDM/PSS</t>
    </r>
    <r>
      <rPr>
        <sz val="18"/>
        <color theme="1"/>
        <rFont val="맑은 고딕"/>
        <family val="2"/>
        <charset val="129"/>
      </rPr>
      <t xml:space="preserve">는 </t>
    </r>
    <r>
      <rPr>
        <sz val="18"/>
        <color theme="1"/>
        <rFont val="Arial"/>
        <family val="2"/>
        <charset val="1"/>
      </rPr>
      <t>N/A</t>
    </r>
  </si>
  <si>
    <t>XY Stage positioning X offset (Vision Pattern Matching)</t>
  </si>
  <si>
    <r>
      <rPr>
        <sz val="18"/>
        <color theme="1"/>
        <rFont val="Arial"/>
        <family val="2"/>
        <charset val="1"/>
      </rPr>
      <t>Recipe/</t>
    </r>
    <r>
      <rPr>
        <sz val="18"/>
        <color theme="1"/>
        <rFont val="맑은 고딕"/>
        <family val="2"/>
        <charset val="129"/>
      </rPr>
      <t>분석프로그램 사용</t>
    </r>
    <r>
      <rPr>
        <sz val="18"/>
        <color theme="1"/>
        <rFont val="Arial"/>
        <family val="2"/>
        <charset val="1"/>
      </rPr>
      <t xml:space="preserve">, Metro cal </t>
    </r>
    <r>
      <rPr>
        <sz val="18"/>
        <color theme="1"/>
        <rFont val="맑은 고딕"/>
        <family val="2"/>
        <charset val="129"/>
      </rPr>
      <t>사용</t>
    </r>
    <r>
      <rPr>
        <sz val="18"/>
        <color theme="1"/>
        <rFont val="Arial"/>
        <family val="2"/>
        <charset val="1"/>
      </rPr>
      <t>, HDM/PSS/PTR/Mask</t>
    </r>
    <r>
      <rPr>
        <sz val="18"/>
        <color theme="1"/>
        <rFont val="맑은 고딕"/>
        <family val="2"/>
        <charset val="129"/>
      </rPr>
      <t xml:space="preserve">는 </t>
    </r>
    <r>
      <rPr>
        <sz val="18"/>
        <color theme="1"/>
        <rFont val="Arial"/>
        <family val="2"/>
        <charset val="1"/>
      </rPr>
      <t>N/A</t>
    </r>
  </si>
  <si>
    <t>XY Stage positioning Y offset (Vision Pattern Matching)</t>
  </si>
  <si>
    <t>XY Stage positioning X 1σ (Vision Pattern Matching)</t>
  </si>
  <si>
    <t>XY Stage positioning Y 1σ (Vision Pattern Matching)</t>
  </si>
  <si>
    <t>XY Stage positioning X offset (In-Die Align)</t>
  </si>
  <si>
    <t>XY Stage positioning Y offset (In-Die Align)</t>
  </si>
  <si>
    <t>XY Stage positioning X 1σ (In-Die Align)</t>
  </si>
  <si>
    <t>XY Stage positioning Y 1σ (In-Die Align)</t>
  </si>
  <si>
    <t>XY Stage positioning X offset (LLC Translation)</t>
  </si>
  <si>
    <t>XY Stage positioning Y offset (LLC Translation)</t>
  </si>
  <si>
    <t>XY Stage positioning X 1σ (LLC Translation)</t>
  </si>
  <si>
    <t>XY Stage positioning Y 1σ (LLC Translation)</t>
  </si>
  <si>
    <t>XY Stage positioning X offset (Global Align)</t>
  </si>
  <si>
    <t>XY Stage positioning Y offset (Global Align)</t>
  </si>
  <si>
    <t>XY Stage positioning X 1σ (Global Align)</t>
  </si>
  <si>
    <t>XY Stage positioning Y 1σ (Global Align)</t>
  </si>
  <si>
    <t>Z Stage</t>
  </si>
  <si>
    <t xml:space="preserve">Z Drift </t>
  </si>
  <si>
    <r>
      <rPr>
        <sz val="18"/>
        <color theme="1"/>
        <rFont val="Arial"/>
        <family val="2"/>
        <charset val="1"/>
      </rPr>
      <t>Zeroscan recipe</t>
    </r>
    <r>
      <rPr>
        <sz val="18"/>
        <color theme="1"/>
        <rFont val="맑은 고딕"/>
        <family val="2"/>
        <charset val="129"/>
      </rPr>
      <t>와 함께 측정되게 변경</t>
    </r>
    <r>
      <rPr>
        <sz val="18"/>
        <color theme="1"/>
        <rFont val="Arial"/>
        <family val="2"/>
        <charset val="1"/>
      </rPr>
      <t xml:space="preserve">(v3.13.0), ZeroScan_Zdrift Recipe </t>
    </r>
    <r>
      <rPr>
        <sz val="18"/>
        <color theme="1"/>
        <rFont val="맑은 고딕"/>
        <family val="2"/>
        <charset val="129"/>
      </rPr>
      <t>사용</t>
    </r>
    <r>
      <rPr>
        <sz val="18"/>
        <color theme="1"/>
        <rFont val="Arial"/>
        <family val="2"/>
        <charset val="1"/>
      </rPr>
      <t>, TSH</t>
    </r>
    <r>
      <rPr>
        <sz val="18"/>
        <color theme="1"/>
        <rFont val="맑은 고딕"/>
        <family val="2"/>
        <charset val="129"/>
      </rPr>
      <t xml:space="preserve">사용은 </t>
    </r>
    <r>
      <rPr>
        <sz val="18"/>
        <color theme="1"/>
        <rFont val="Arial"/>
        <family val="2"/>
        <charset val="1"/>
      </rPr>
      <t xml:space="preserve">Max spec. 45um </t>
    </r>
    <r>
      <rPr>
        <sz val="18"/>
        <color theme="1"/>
        <rFont val="맑은 고딕"/>
        <family val="2"/>
        <charset val="129"/>
      </rPr>
      <t xml:space="preserve">이외는 </t>
    </r>
    <r>
      <rPr>
        <sz val="18"/>
        <color theme="1"/>
        <rFont val="Arial"/>
        <family val="2"/>
        <charset val="1"/>
      </rPr>
      <t>Max spec. 20um</t>
    </r>
  </si>
  <si>
    <t>ATX(Auto Align Head)</t>
  </si>
  <si>
    <r>
      <rPr>
        <sz val="18"/>
        <rFont val="Arial"/>
        <family val="2"/>
        <charset val="1"/>
      </rPr>
      <t>A</t>
    </r>
    <r>
      <rPr>
        <sz val="18"/>
        <rFont val="맑은 고딕"/>
        <family val="2"/>
        <charset val="129"/>
      </rPr>
      <t>＋</t>
    </r>
    <r>
      <rPr>
        <sz val="18"/>
        <rFont val="Arial"/>
        <family val="2"/>
        <charset val="1"/>
      </rPr>
      <t>B</t>
    </r>
    <r>
      <rPr>
        <sz val="18"/>
        <color theme="1"/>
        <rFont val="Arial"/>
        <family val="2"/>
        <charset val="1"/>
      </rPr>
      <t xml:space="preserve"> difference during 3 times run test </t>
    </r>
  </si>
  <si>
    <r>
      <rPr>
        <sz val="18"/>
        <rFont val="Arial"/>
        <family val="2"/>
        <charset val="1"/>
      </rPr>
      <t>A</t>
    </r>
    <r>
      <rPr>
        <sz val="18"/>
        <rFont val="맑은 고딕"/>
        <family val="2"/>
        <charset val="129"/>
      </rPr>
      <t>－</t>
    </r>
    <r>
      <rPr>
        <sz val="18"/>
        <rFont val="Arial"/>
        <family val="2"/>
        <charset val="1"/>
      </rPr>
      <t>B</t>
    </r>
    <r>
      <rPr>
        <sz val="18"/>
        <color theme="1"/>
        <rFont val="Arial"/>
        <family val="2"/>
        <charset val="1"/>
      </rPr>
      <t xml:space="preserve"> difference during 3 times run test </t>
    </r>
  </si>
  <si>
    <t>EFEM</t>
  </si>
  <si>
    <t>Check doubled wafer detection</t>
  </si>
  <si>
    <r>
      <rPr>
        <sz val="18"/>
        <color theme="1"/>
        <rFont val="Arial"/>
        <family val="2"/>
        <charset val="1"/>
      </rPr>
      <t>Brooks robot</t>
    </r>
    <r>
      <rPr>
        <sz val="18"/>
        <color theme="1"/>
        <rFont val="맑은 고딕"/>
        <family val="2"/>
        <charset val="129"/>
      </rPr>
      <t>인경우 안될수 있음</t>
    </r>
  </si>
  <si>
    <t>Check crossed wafer detection</t>
  </si>
  <si>
    <t>Wafer placement(Loading) error on the load port1 (X offset)</t>
  </si>
  <si>
    <r>
      <rPr>
        <sz val="18"/>
        <color theme="1"/>
        <rFont val="Arial"/>
        <family val="2"/>
        <charset val="1"/>
      </rPr>
      <t>20</t>
    </r>
    <r>
      <rPr>
        <sz val="18"/>
        <color theme="1"/>
        <rFont val="맑은 고딕"/>
        <family val="2"/>
        <charset val="129"/>
      </rPr>
      <t xml:space="preserve">번 진행후  </t>
    </r>
    <r>
      <rPr>
        <sz val="18"/>
        <color theme="1"/>
        <rFont val="Arial"/>
        <family val="2"/>
        <charset val="1"/>
      </rPr>
      <t xml:space="preserve">Position error </t>
    </r>
    <r>
      <rPr>
        <sz val="18"/>
        <color theme="1"/>
        <rFont val="맑은 고딕"/>
        <family val="2"/>
        <charset val="129"/>
      </rPr>
      <t xml:space="preserve">확인 </t>
    </r>
    <r>
      <rPr>
        <sz val="18"/>
        <color theme="1"/>
        <rFont val="Arial"/>
        <family val="2"/>
        <charset val="1"/>
      </rPr>
      <t xml:space="preserve">(Max offset </t>
    </r>
    <r>
      <rPr>
        <sz val="18"/>
        <color theme="1"/>
        <rFont val="맑은 고딕"/>
        <family val="2"/>
        <charset val="129"/>
      </rPr>
      <t>기입</t>
    </r>
    <r>
      <rPr>
        <sz val="18"/>
        <color theme="1"/>
        <rFont val="Arial"/>
        <family val="2"/>
        <charset val="1"/>
      </rPr>
      <t xml:space="preserve">), guide </t>
    </r>
    <r>
      <rPr>
        <sz val="18"/>
        <color theme="1"/>
        <rFont val="맑은 고딕"/>
        <family val="2"/>
        <charset val="129"/>
      </rPr>
      <t>참고</t>
    </r>
  </si>
  <si>
    <t>Wafer placement(Loading) error on the load port1 (Y offset)</t>
  </si>
  <si>
    <t>EFEM(Dual Load port)</t>
  </si>
  <si>
    <t>Wafer placement(Loading) error on the load port2 (X offset)</t>
  </si>
  <si>
    <r>
      <rPr>
        <sz val="18"/>
        <color theme="1"/>
        <rFont val="Arial"/>
        <family val="2"/>
        <charset val="1"/>
      </rPr>
      <t>20</t>
    </r>
    <r>
      <rPr>
        <sz val="18"/>
        <color theme="1"/>
        <rFont val="맑은 고딕"/>
        <family val="2"/>
        <charset val="129"/>
      </rPr>
      <t xml:space="preserve">번 진행후  </t>
    </r>
    <r>
      <rPr>
        <sz val="18"/>
        <color theme="1"/>
        <rFont val="Arial"/>
        <family val="2"/>
        <charset val="1"/>
      </rPr>
      <t xml:space="preserve">Position error </t>
    </r>
    <r>
      <rPr>
        <sz val="18"/>
        <color theme="1"/>
        <rFont val="맑은 고딕"/>
        <family val="2"/>
        <charset val="129"/>
      </rPr>
      <t xml:space="preserve">확인 </t>
    </r>
    <r>
      <rPr>
        <sz val="18"/>
        <color theme="1"/>
        <rFont val="Arial"/>
        <family val="2"/>
        <charset val="1"/>
      </rPr>
      <t xml:space="preserve">(Max offset </t>
    </r>
    <r>
      <rPr>
        <sz val="18"/>
        <color theme="1"/>
        <rFont val="맑은 고딕"/>
        <family val="2"/>
        <charset val="129"/>
      </rPr>
      <t>기입</t>
    </r>
    <r>
      <rPr>
        <sz val="18"/>
        <color theme="1"/>
        <rFont val="Arial"/>
        <family val="2"/>
        <charset val="1"/>
      </rPr>
      <t xml:space="preserve">), guide </t>
    </r>
    <r>
      <rPr>
        <sz val="18"/>
        <color theme="1"/>
        <rFont val="맑은 고딕"/>
        <family val="2"/>
        <charset val="129"/>
      </rPr>
      <t>참고</t>
    </r>
    <r>
      <rPr>
        <sz val="18"/>
        <color theme="1"/>
        <rFont val="Arial"/>
        <family val="2"/>
        <charset val="1"/>
      </rPr>
      <t xml:space="preserve">, loadport2 </t>
    </r>
    <r>
      <rPr>
        <sz val="18"/>
        <color theme="1"/>
        <rFont val="맑은 고딕"/>
        <family val="2"/>
        <charset val="129"/>
      </rPr>
      <t>없을시 삭제</t>
    </r>
  </si>
  <si>
    <t>Wafer placement(Loading) error on the load port2 (Y offset)</t>
  </si>
  <si>
    <t>Cleanness of EFEM w/ airborne particle measurement</t>
  </si>
  <si>
    <t>ISO1</t>
  </si>
  <si>
    <t xml:space="preserve"> </t>
  </si>
  <si>
    <t>Angle offset value of pre-aligner</t>
  </si>
  <si>
    <r>
      <rPr>
        <sz val="18"/>
        <color theme="1"/>
        <rFont val="Arial"/>
        <family val="2"/>
        <charset val="1"/>
      </rPr>
      <t xml:space="preserve">EFEM-Alinger </t>
    </r>
    <r>
      <rPr>
        <sz val="18"/>
        <color theme="1"/>
        <rFont val="맑은 고딕"/>
        <family val="2"/>
        <charset val="129"/>
      </rPr>
      <t>로딩 후 틀어진 각 조정하여 저장한 값 기입</t>
    </r>
    <r>
      <rPr>
        <sz val="18"/>
        <color theme="1"/>
        <rFont val="Arial"/>
        <family val="2"/>
        <charset val="1"/>
      </rPr>
      <t>(XEA EFEM- Setup - Align Angle offset)</t>
    </r>
  </si>
  <si>
    <t>EFEM(Bluecord aligner)</t>
  </si>
  <si>
    <t>Centering accuracy of pre-aligner</t>
  </si>
  <si>
    <t>Differential pressure measured at FFU Normal speed(Static conditions)</t>
  </si>
  <si>
    <t>Pa</t>
  </si>
  <si>
    <r>
      <rPr>
        <sz val="18"/>
        <color theme="1"/>
        <rFont val="맑은 고딕"/>
        <family val="2"/>
        <charset val="129"/>
      </rPr>
      <t xml:space="preserve">모든 </t>
    </r>
    <r>
      <rPr>
        <sz val="18"/>
        <color theme="1"/>
        <rFont val="Arial"/>
        <family val="2"/>
        <charset val="1"/>
      </rPr>
      <t>Panel</t>
    </r>
    <r>
      <rPr>
        <sz val="18"/>
        <color theme="1"/>
        <rFont val="맑은 고딕"/>
        <family val="2"/>
        <charset val="129"/>
      </rPr>
      <t xml:space="preserve">과 </t>
    </r>
    <r>
      <rPr>
        <sz val="18"/>
        <color theme="1"/>
        <rFont val="Arial"/>
        <family val="2"/>
        <charset val="1"/>
      </rPr>
      <t xml:space="preserve">Door </t>
    </r>
    <r>
      <rPr>
        <sz val="18"/>
        <color theme="1"/>
        <rFont val="맑은 고딕"/>
        <family val="2"/>
        <charset val="129"/>
      </rPr>
      <t>가 닫힌 상태에서 측정</t>
    </r>
    <r>
      <rPr>
        <sz val="18"/>
        <color theme="1"/>
        <rFont val="Arial"/>
        <family val="2"/>
        <charset val="1"/>
      </rPr>
      <t xml:space="preserve">, </t>
    </r>
    <r>
      <rPr>
        <sz val="18"/>
        <color theme="1"/>
        <rFont val="맑은 고딕"/>
        <family val="2"/>
        <charset val="129"/>
      </rPr>
      <t>분석시트 사용</t>
    </r>
  </si>
  <si>
    <t>Differential pressure measured at FFU Normal speed(Dynamic conditions)</t>
  </si>
  <si>
    <r>
      <rPr>
        <sz val="18"/>
        <color theme="1"/>
        <rFont val="Arial"/>
        <family val="2"/>
        <charset val="1"/>
      </rPr>
      <t>Loadport Door open/close 1</t>
    </r>
    <r>
      <rPr>
        <sz val="18"/>
        <color theme="1"/>
        <rFont val="맑은 고딕"/>
        <family val="2"/>
        <charset val="129"/>
      </rPr>
      <t xml:space="preserve">회 수행 후 </t>
    </r>
    <r>
      <rPr>
        <sz val="18"/>
        <color theme="1"/>
        <rFont val="Arial"/>
        <family val="2"/>
        <charset val="1"/>
      </rPr>
      <t>30</t>
    </r>
    <r>
      <rPr>
        <sz val="18"/>
        <color theme="1"/>
        <rFont val="맑은 고딕"/>
        <family val="2"/>
        <charset val="129"/>
      </rPr>
      <t>초간 측정</t>
    </r>
    <r>
      <rPr>
        <sz val="18"/>
        <color theme="1"/>
        <rFont val="Arial"/>
        <family val="2"/>
        <charset val="1"/>
      </rPr>
      <t xml:space="preserve">, </t>
    </r>
    <r>
      <rPr>
        <sz val="18"/>
        <color theme="1"/>
        <rFont val="맑은 고딕"/>
        <family val="2"/>
        <charset val="129"/>
      </rPr>
      <t>분석시트 사용</t>
    </r>
  </si>
  <si>
    <t>FFU Optimized Velocity Test: Average Airflow Velocity</t>
  </si>
  <si>
    <t>m/s</t>
  </si>
  <si>
    <t>분석시트 사용</t>
  </si>
  <si>
    <t>FFU Optimized Velocity Test: Individual Velocity Deviation</t>
  </si>
  <si>
    <t>Average Airflow ±20%</t>
  </si>
  <si>
    <r>
      <rPr>
        <sz val="18"/>
        <color theme="1"/>
        <rFont val="맑은 고딕"/>
        <family val="2"/>
        <charset val="129"/>
      </rPr>
      <t xml:space="preserve">분석시트 사용하여 </t>
    </r>
    <r>
      <rPr>
        <sz val="18"/>
        <color theme="1"/>
        <rFont val="Arial"/>
        <family val="2"/>
        <charset val="1"/>
      </rPr>
      <t xml:space="preserve">pass </t>
    </r>
    <r>
      <rPr>
        <sz val="18"/>
        <color theme="1"/>
        <rFont val="맑은 고딕"/>
        <family val="2"/>
        <charset val="129"/>
      </rPr>
      <t xml:space="preserve">시 </t>
    </r>
    <r>
      <rPr>
        <sz val="18"/>
        <color theme="1"/>
        <rFont val="Arial"/>
        <family val="2"/>
        <charset val="1"/>
      </rPr>
      <t>pass</t>
    </r>
    <r>
      <rPr>
        <sz val="18"/>
        <color theme="1"/>
        <rFont val="맑은 고딕"/>
        <family val="2"/>
        <charset val="129"/>
      </rPr>
      <t>로 선택</t>
    </r>
  </si>
  <si>
    <t>Check 500 cycle of wafer load and unload without error</t>
  </si>
  <si>
    <r>
      <rPr>
        <sz val="18"/>
        <color theme="1"/>
        <rFont val="Arial"/>
        <family val="2"/>
        <charset val="1"/>
      </rPr>
      <t xml:space="preserve">YMTC </t>
    </r>
    <r>
      <rPr>
        <sz val="18"/>
        <color theme="1"/>
        <rFont val="맑은 고딕"/>
        <family val="2"/>
        <charset val="129"/>
      </rPr>
      <t>경우</t>
    </r>
    <r>
      <rPr>
        <sz val="18"/>
        <color theme="1"/>
        <rFont val="Arial"/>
        <family val="2"/>
        <charset val="1"/>
      </rPr>
      <t xml:space="preserve">, LoadPort </t>
    </r>
    <r>
      <rPr>
        <sz val="18"/>
        <color theme="1"/>
        <rFont val="맑은 고딕"/>
        <family val="2"/>
        <charset val="129"/>
      </rPr>
      <t xml:space="preserve">별 </t>
    </r>
    <r>
      <rPr>
        <sz val="18"/>
        <color theme="1"/>
        <rFont val="Arial"/>
        <family val="2"/>
        <charset val="1"/>
      </rPr>
      <t>500 times(</t>
    </r>
    <r>
      <rPr>
        <sz val="18"/>
        <color theme="1"/>
        <rFont val="맑은 고딕"/>
        <family val="2"/>
        <charset val="129"/>
      </rPr>
      <t xml:space="preserve">기본은 </t>
    </r>
    <r>
      <rPr>
        <sz val="18"/>
        <color theme="1"/>
        <rFont val="Arial"/>
        <family val="2"/>
        <charset val="1"/>
      </rPr>
      <t xml:space="preserve">LoadPort </t>
    </r>
    <r>
      <rPr>
        <sz val="18"/>
        <color theme="1"/>
        <rFont val="맑은 고딕"/>
        <family val="2"/>
        <charset val="129"/>
      </rPr>
      <t xml:space="preserve">별 </t>
    </r>
    <r>
      <rPr>
        <sz val="18"/>
        <color theme="1"/>
        <rFont val="Arial"/>
        <family val="2"/>
        <charset val="1"/>
      </rPr>
      <t>250times)</t>
    </r>
  </si>
  <si>
    <t>Facility Controller(UPS)</t>
  </si>
  <si>
    <t>Check UPS capability for 5 minutes</t>
  </si>
  <si>
    <t>Verify MicrometerPerErrorSignalAdc setting for AC160TS</t>
  </si>
  <si>
    <t>Calibration</t>
  </si>
  <si>
    <t>Specification of Step Height Sample for Z Calibration</t>
  </si>
  <si>
    <r>
      <rPr>
        <sz val="18"/>
        <color theme="1"/>
        <rFont val="맑은 고딕"/>
        <family val="2"/>
        <charset val="129"/>
      </rPr>
      <t>아래 측정</t>
    </r>
    <r>
      <rPr>
        <sz val="18"/>
        <color theme="1"/>
        <rFont val="Arial"/>
        <family val="2"/>
        <charset val="1"/>
      </rPr>
      <t xml:space="preserve">(Z Calibration) </t>
    </r>
    <r>
      <rPr>
        <sz val="18"/>
        <color theme="1"/>
        <rFont val="맑은 고딕"/>
        <family val="2"/>
        <charset val="129"/>
      </rPr>
      <t xml:space="preserve">에 사용하는 </t>
    </r>
    <r>
      <rPr>
        <sz val="18"/>
        <color theme="1"/>
        <rFont val="Arial"/>
        <family val="2"/>
        <charset val="1"/>
      </rPr>
      <t xml:space="preserve">Sample(450nm) spec </t>
    </r>
    <r>
      <rPr>
        <sz val="18"/>
        <color theme="1"/>
        <rFont val="맑은 고딕"/>
        <family val="2"/>
        <charset val="129"/>
      </rPr>
      <t xml:space="preserve">값 </t>
    </r>
    <r>
      <rPr>
        <sz val="18"/>
        <color theme="1"/>
        <rFont val="Arial"/>
        <family val="2"/>
        <charset val="1"/>
      </rPr>
      <t>min, max criteria</t>
    </r>
    <r>
      <rPr>
        <sz val="18"/>
        <color theme="1"/>
        <rFont val="맑은 고딕"/>
        <family val="2"/>
        <charset val="129"/>
      </rPr>
      <t xml:space="preserve">에 기입 </t>
    </r>
  </si>
  <si>
    <t>Z Height calibration error</t>
  </si>
  <si>
    <t xml:space="preserve">  - Z Height measurement value of the calibration sample</t>
  </si>
  <si>
    <t>Z Drive calibration error</t>
  </si>
  <si>
    <t xml:space="preserve">  - Z Drive measurement value of the calibration sample</t>
  </si>
  <si>
    <t>Z Height calibration value in Large Mode (MicrometerPerAdcHigh in ZDetector DB)</t>
  </si>
  <si>
    <t>Z Drive calibration value in Large Mode (MicrometerPerDacHigh in ZScanner DB)</t>
  </si>
  <si>
    <t>Z Height calibration value in Small Mode (MicrometerPerAdcLow in ZDetector DB)</t>
  </si>
  <si>
    <t>Z Drive calibration value in Small Mode (MicrometerPerDacLow in ZScanner DB)</t>
  </si>
  <si>
    <t>Field Of View in large view</t>
  </si>
  <si>
    <t>FieldOfView in Vision Carmera DB</t>
  </si>
  <si>
    <t xml:space="preserve">X Detector stroke calibration error (nominal scale error X)	</t>
  </si>
  <si>
    <r>
      <rPr>
        <sz val="18"/>
        <color theme="1"/>
        <rFont val="맑은 고딕"/>
        <family val="2"/>
        <charset val="129"/>
      </rPr>
      <t xml:space="preserve">신규 분석 프로그램인 </t>
    </r>
    <r>
      <rPr>
        <sz val="18"/>
        <color theme="1"/>
        <rFont val="Arial"/>
        <family val="2"/>
        <charset val="1"/>
      </rPr>
      <t xml:space="preserve">XY Scanner Calibration Sample Analyzer </t>
    </r>
    <r>
      <rPr>
        <sz val="18"/>
        <color theme="1"/>
        <rFont val="맑은 고딕"/>
        <family val="2"/>
        <charset val="129"/>
      </rPr>
      <t>사용</t>
    </r>
  </si>
  <si>
    <t>Y Detector stroke calibration error (nominal scale error Y)</t>
  </si>
  <si>
    <t>X1 Detector calibration value(MicrometerPerAdc in XDetector DB)</t>
  </si>
  <si>
    <t>X2 Detector calibration value(AuxMicrometerPerAdc in XDetector DB)</t>
  </si>
  <si>
    <t>Y1 Detector calibration value(MicrometerPerAdc in YDetector DB)</t>
  </si>
  <si>
    <t>Y2 Detector calibration value(AuxMicrometerPerAdc in YDetector DB)</t>
  </si>
  <si>
    <t>X Scanner calibration value(MicrometerPerDacHigh in XScanner DB)</t>
  </si>
  <si>
    <t>Y Scanner calibration value(MicrometerPerDacHigh in YScanner DB)</t>
  </si>
  <si>
    <t>Closed loop scanning range (ServoScanRangeMicrometer in X/YScanner DB)</t>
  </si>
  <si>
    <t>Align the XY stage origin and sample origin</t>
  </si>
  <si>
    <t>RMS error after Stage Calibration</t>
  </si>
  <si>
    <r>
      <rPr>
        <sz val="18"/>
        <color theme="1"/>
        <rFont val="Arial"/>
        <family val="2"/>
        <charset val="1"/>
      </rPr>
      <t>2</t>
    </r>
    <r>
      <rPr>
        <sz val="18"/>
        <color theme="1"/>
        <rFont val="맑은 고딕"/>
        <family val="2"/>
        <charset val="129"/>
      </rPr>
      <t>번 진행</t>
    </r>
    <r>
      <rPr>
        <sz val="18"/>
        <color theme="1"/>
        <rFont val="Arial"/>
        <family val="2"/>
        <charset val="1"/>
      </rPr>
      <t>, 2</t>
    </r>
    <r>
      <rPr>
        <sz val="18"/>
        <color theme="1"/>
        <rFont val="맑은 고딕"/>
        <family val="2"/>
        <charset val="129"/>
      </rPr>
      <t>번째 값 기입</t>
    </r>
    <r>
      <rPr>
        <sz val="18"/>
        <color theme="1"/>
        <rFont val="Arial"/>
        <family val="2"/>
        <charset val="1"/>
      </rPr>
      <t>, N/A</t>
    </r>
    <r>
      <rPr>
        <sz val="18"/>
        <color theme="1"/>
        <rFont val="맑은 고딕"/>
        <family val="2"/>
        <charset val="129"/>
      </rPr>
      <t xml:space="preserve">시 </t>
    </r>
    <r>
      <rPr>
        <sz val="18"/>
        <color theme="1"/>
        <rFont val="Arial"/>
        <family val="2"/>
        <charset val="1"/>
      </rPr>
      <t xml:space="preserve">MAX </t>
    </r>
    <r>
      <rPr>
        <sz val="18"/>
        <color theme="1"/>
        <rFont val="맑은 고딕"/>
        <family val="2"/>
        <charset val="129"/>
      </rPr>
      <t>값 삭제</t>
    </r>
  </si>
  <si>
    <t>Acoustic Enclosure</t>
  </si>
  <si>
    <t>Check the specification of the nameplate (Refer to the drawing of layout and facility)</t>
  </si>
  <si>
    <t>Configuration</t>
  </si>
  <si>
    <t>제원명판 제작 및 부착</t>
  </si>
  <si>
    <t>AE type</t>
  </si>
  <si>
    <t>Double Walled</t>
  </si>
  <si>
    <t>분리형</t>
  </si>
  <si>
    <t>Computer</t>
  </si>
  <si>
    <t>Ethernet card type</t>
  </si>
  <si>
    <t>Non-PoE</t>
  </si>
  <si>
    <t>Disable power saving mode in OS and BIOS</t>
  </si>
  <si>
    <t>Enable RAID</t>
  </si>
  <si>
    <t>RAID monitor software</t>
  </si>
  <si>
    <t>Installed</t>
  </si>
  <si>
    <t>Anti-virus software</t>
  </si>
  <si>
    <t>Check for the latest update on anti-virus software</t>
  </si>
  <si>
    <r>
      <rPr>
        <sz val="18"/>
        <color theme="1"/>
        <rFont val="Arial"/>
        <family val="2"/>
        <charset val="1"/>
      </rPr>
      <t>anti virus software</t>
    </r>
    <r>
      <rPr>
        <sz val="18"/>
        <color theme="1"/>
        <rFont val="맑은 고딕"/>
        <family val="2"/>
        <charset val="129"/>
      </rPr>
      <t>가 최신 업데이트 상태여야함</t>
    </r>
  </si>
  <si>
    <t>Check for the number of viruses detected after the virus scan</t>
  </si>
  <si>
    <r>
      <rPr>
        <sz val="18"/>
        <color theme="1"/>
        <rFont val="Arial"/>
        <family val="2"/>
        <charset val="1"/>
      </rPr>
      <t>scan</t>
    </r>
    <r>
      <rPr>
        <sz val="18"/>
        <color theme="1"/>
        <rFont val="맑은 고딕"/>
        <family val="2"/>
        <charset val="129"/>
      </rPr>
      <t xml:space="preserve">된 </t>
    </r>
    <r>
      <rPr>
        <sz val="18"/>
        <color theme="1"/>
        <rFont val="Arial"/>
        <family val="2"/>
        <charset val="1"/>
      </rPr>
      <t xml:space="preserve">virus </t>
    </r>
    <r>
      <rPr>
        <sz val="18"/>
        <color theme="1"/>
        <rFont val="맑은 고딕"/>
        <family val="2"/>
        <charset val="129"/>
      </rPr>
      <t>개수 확인</t>
    </r>
    <r>
      <rPr>
        <sz val="18"/>
        <color theme="1"/>
        <rFont val="Arial"/>
        <family val="2"/>
        <charset val="1"/>
      </rPr>
      <t>, virus</t>
    </r>
    <r>
      <rPr>
        <sz val="18"/>
        <color theme="1"/>
        <rFont val="맑은 고딕"/>
        <family val="2"/>
        <charset val="129"/>
      </rPr>
      <t xml:space="preserve">가 </t>
    </r>
    <r>
      <rPr>
        <sz val="18"/>
        <color theme="1"/>
        <rFont val="Arial"/>
        <family val="2"/>
        <charset val="1"/>
      </rPr>
      <t>0</t>
    </r>
    <r>
      <rPr>
        <sz val="18"/>
        <color theme="1"/>
        <rFont val="맑은 고딕"/>
        <family val="2"/>
        <charset val="129"/>
      </rPr>
      <t>개여야 함</t>
    </r>
  </si>
  <si>
    <t>Dongle for pattern recognition</t>
  </si>
  <si>
    <t>Windows version</t>
  </si>
  <si>
    <t>24H2</t>
  </si>
  <si>
    <t>Version</t>
  </si>
  <si>
    <r>
      <rPr>
        <sz val="18"/>
        <color theme="1"/>
        <rFont val="Arial"/>
        <family val="2"/>
        <charset val="1"/>
      </rPr>
      <t xml:space="preserve">Window OS </t>
    </r>
    <r>
      <rPr>
        <sz val="18"/>
        <color theme="1"/>
        <rFont val="맑은 고딕"/>
        <family val="2"/>
        <charset val="129"/>
      </rPr>
      <t xml:space="preserve">선택하면 </t>
    </r>
    <r>
      <rPr>
        <sz val="18"/>
        <color theme="1"/>
        <rFont val="Arial"/>
        <family val="2"/>
        <charset val="1"/>
      </rPr>
      <t xml:space="preserve">Version </t>
    </r>
    <r>
      <rPr>
        <sz val="18"/>
        <color theme="1"/>
        <rFont val="맑은 고딕"/>
        <family val="2"/>
        <charset val="129"/>
      </rPr>
      <t>알아서 바뀜</t>
    </r>
    <r>
      <rPr>
        <sz val="18"/>
        <color theme="1"/>
        <rFont val="Arial"/>
        <family val="2"/>
        <charset val="1"/>
      </rPr>
      <t>, window10 -&gt; 22h2, window11 -&gt; 24h2</t>
    </r>
  </si>
  <si>
    <t>Disable Windows update</t>
  </si>
  <si>
    <t>Save computer configuration file</t>
  </si>
  <si>
    <t>Check ethernet configuration for AFM Controller</t>
  </si>
  <si>
    <t xml:space="preserve">Address:192.168.0.1, Subnet mask: 255.255.255.0 </t>
  </si>
  <si>
    <t>Check ethernet configuration for on-axis camera</t>
  </si>
  <si>
    <t xml:space="preserve">Address:169.254.100.1, Subnet mask: 255.255.255.0 </t>
  </si>
  <si>
    <t>OS(Operating System) type</t>
  </si>
  <si>
    <t>Window11 64bit</t>
  </si>
  <si>
    <t>OS / MS-office language</t>
  </si>
  <si>
    <t>English</t>
  </si>
  <si>
    <t>Check DotNET Framework Version</t>
  </si>
  <si>
    <t>4.8.1</t>
  </si>
  <si>
    <r>
      <rPr>
        <sz val="18"/>
        <color theme="1"/>
        <rFont val="Arial"/>
        <family val="2"/>
        <charset val="1"/>
      </rPr>
      <t xml:space="preserve">Version 4.6 </t>
    </r>
    <r>
      <rPr>
        <sz val="18"/>
        <color theme="1"/>
        <rFont val="맑은 고딕"/>
        <family val="2"/>
        <charset val="129"/>
      </rPr>
      <t>이상인지 확인</t>
    </r>
    <r>
      <rPr>
        <sz val="18"/>
        <color theme="1"/>
        <rFont val="Arial"/>
        <family val="2"/>
        <charset val="1"/>
      </rPr>
      <t xml:space="preserve">, ([PST] Environmental Check </t>
    </r>
    <r>
      <rPr>
        <sz val="18"/>
        <color theme="1"/>
        <rFont val="맑은 고딕"/>
        <family val="2"/>
        <charset val="129"/>
      </rPr>
      <t>프로그램 사용하여 확인</t>
    </r>
    <r>
      <rPr>
        <sz val="18"/>
        <color theme="1"/>
        <rFont val="Arial"/>
        <family val="2"/>
        <charset val="1"/>
      </rPr>
      <t>)</t>
    </r>
  </si>
  <si>
    <t>Check the installation status of the display refresh program</t>
  </si>
  <si>
    <r>
      <rPr>
        <sz val="18"/>
        <color theme="1"/>
        <rFont val="Arial"/>
        <family val="2"/>
        <charset val="1"/>
      </rPr>
      <t xml:space="preserve">Display refresh </t>
    </r>
    <r>
      <rPr>
        <sz val="18"/>
        <color theme="1"/>
        <rFont val="맑은 고딕"/>
        <family val="2"/>
        <charset val="129"/>
      </rPr>
      <t>프로그램 설치 확인</t>
    </r>
  </si>
  <si>
    <t>Computer model</t>
  </si>
  <si>
    <t>HP Z4 G5 Workstation</t>
  </si>
  <si>
    <t>Check that the right-angle adapter for the HDMI cable is applied</t>
  </si>
  <si>
    <r>
      <rPr>
        <sz val="18"/>
        <color theme="1"/>
        <rFont val="Arial"/>
        <family val="2"/>
        <charset val="1"/>
      </rPr>
      <t>HDM/PSS/PTR</t>
    </r>
    <r>
      <rPr>
        <sz val="18"/>
        <color theme="1"/>
        <rFont val="맑은 고딕"/>
        <family val="2"/>
        <charset val="129"/>
      </rPr>
      <t xml:space="preserve">은 </t>
    </r>
    <r>
      <rPr>
        <sz val="18"/>
        <color theme="1"/>
        <rFont val="Arial"/>
        <family val="2"/>
        <charset val="1"/>
      </rPr>
      <t>N/A</t>
    </r>
  </si>
  <si>
    <t>Serial Multi port type</t>
  </si>
  <si>
    <t>Slot</t>
  </si>
  <si>
    <r>
      <rPr>
        <sz val="18"/>
        <color theme="1"/>
        <rFont val="맑은 고딕"/>
        <family val="2"/>
        <charset val="129"/>
      </rPr>
      <t xml:space="preserve">선택하면 아래 </t>
    </r>
    <r>
      <rPr>
        <sz val="18"/>
        <color theme="1"/>
        <rFont val="Arial"/>
        <family val="2"/>
        <charset val="1"/>
      </rPr>
      <t xml:space="preserve">Bracket </t>
    </r>
    <r>
      <rPr>
        <sz val="18"/>
        <color theme="1"/>
        <rFont val="맑은 고딕"/>
        <family val="2"/>
        <charset val="129"/>
      </rPr>
      <t>여</t>
    </r>
    <r>
      <rPr>
        <sz val="18"/>
        <color theme="1"/>
        <rFont val="Arial"/>
        <family val="2"/>
        <charset val="1"/>
      </rPr>
      <t>/</t>
    </r>
    <r>
      <rPr>
        <sz val="18"/>
        <color theme="1"/>
        <rFont val="맑은 고딕"/>
        <family val="2"/>
        <charset val="129"/>
      </rPr>
      <t>부 바뀜</t>
    </r>
  </si>
  <si>
    <t>Check if USB serial multi-port bracket is installed</t>
  </si>
  <si>
    <t>Misc</t>
  </si>
  <si>
    <t>Check if the mouse and keyboard are functioning properly after turning off the power and then turning it back on</t>
  </si>
  <si>
    <r>
      <rPr>
        <sz val="18"/>
        <color theme="1"/>
        <rFont val="맑은 고딕"/>
        <family val="2"/>
        <charset val="129"/>
      </rPr>
      <t xml:space="preserve">전체 전원 </t>
    </r>
    <r>
      <rPr>
        <sz val="18"/>
        <color theme="1"/>
        <rFont val="Arial"/>
        <family val="2"/>
        <charset val="1"/>
      </rPr>
      <t xml:space="preserve">Off </t>
    </r>
    <r>
      <rPr>
        <sz val="18"/>
        <color theme="1"/>
        <rFont val="맑은 고딕"/>
        <family val="2"/>
        <charset val="129"/>
      </rPr>
      <t xml:space="preserve">후 </t>
    </r>
    <r>
      <rPr>
        <sz val="18"/>
        <color theme="1"/>
        <rFont val="Arial"/>
        <family val="2"/>
        <charset val="1"/>
      </rPr>
      <t>10</t>
    </r>
    <r>
      <rPr>
        <sz val="18"/>
        <color theme="1"/>
        <rFont val="맑은 고딕"/>
        <family val="2"/>
        <charset val="129"/>
      </rPr>
      <t xml:space="preserve">분뒤 전원 </t>
    </r>
    <r>
      <rPr>
        <sz val="18"/>
        <color theme="1"/>
        <rFont val="Arial"/>
        <family val="2"/>
        <charset val="1"/>
      </rPr>
      <t xml:space="preserve">On - </t>
    </r>
    <r>
      <rPr>
        <sz val="18"/>
        <color theme="1"/>
        <rFont val="맑은 고딕"/>
        <family val="2"/>
        <charset val="129"/>
      </rPr>
      <t>마우스</t>
    </r>
    <r>
      <rPr>
        <sz val="18"/>
        <color theme="1"/>
        <rFont val="Arial"/>
        <family val="2"/>
        <charset val="1"/>
      </rPr>
      <t>,</t>
    </r>
    <r>
      <rPr>
        <sz val="18"/>
        <color theme="1"/>
        <rFont val="맑은 고딕"/>
        <family val="2"/>
        <charset val="129"/>
      </rPr>
      <t xml:space="preserve">키보드 등 동작 이상없는지 확인 </t>
    </r>
  </si>
  <si>
    <t>Check that all ground cables are equipped with eye caps</t>
  </si>
  <si>
    <t>Check that all ground cable labels indicate “PE”</t>
  </si>
  <si>
    <t>Activate Thermal tune option in XEA</t>
  </si>
  <si>
    <t>Activated</t>
  </si>
  <si>
    <r>
      <rPr>
        <sz val="18"/>
        <color theme="1"/>
        <rFont val="Arial"/>
        <family val="2"/>
        <charset val="1"/>
      </rPr>
      <t>Guide</t>
    </r>
    <r>
      <rPr>
        <sz val="18"/>
        <color theme="1"/>
        <rFont val="맑은 고딕"/>
        <family val="2"/>
        <charset val="129"/>
      </rPr>
      <t>참고</t>
    </r>
    <r>
      <rPr>
        <sz val="18"/>
        <color theme="1"/>
        <rFont val="Arial"/>
        <family val="2"/>
        <charset val="1"/>
      </rPr>
      <t xml:space="preserve">, xea.vmoption </t>
    </r>
    <r>
      <rPr>
        <sz val="18"/>
        <color theme="1"/>
        <rFont val="맑은 고딕"/>
        <family val="2"/>
        <charset val="129"/>
      </rPr>
      <t xml:space="preserve">활성화 및 </t>
    </r>
    <r>
      <rPr>
        <sz val="18"/>
        <color theme="1"/>
        <rFont val="Arial"/>
        <family val="2"/>
        <charset val="1"/>
      </rPr>
      <t>XEA setup</t>
    </r>
    <r>
      <rPr>
        <sz val="18"/>
        <color theme="1"/>
        <rFont val="맑은 고딕"/>
        <family val="2"/>
        <charset val="129"/>
      </rPr>
      <t xml:space="preserve">에서 </t>
    </r>
    <r>
      <rPr>
        <sz val="18"/>
        <color theme="1"/>
        <rFont val="Arial"/>
        <family val="2"/>
        <charset val="1"/>
      </rPr>
      <t>use</t>
    </r>
    <r>
      <rPr>
        <sz val="18"/>
        <color theme="1"/>
        <rFont val="맑은 고딕"/>
        <family val="2"/>
        <charset val="129"/>
      </rPr>
      <t>설정</t>
    </r>
  </si>
  <si>
    <t>Resonance frequency of AC160 by thermal tune</t>
  </si>
  <si>
    <t>kHz</t>
  </si>
  <si>
    <r>
      <rPr>
        <sz val="18"/>
        <color theme="1"/>
        <rFont val="Arial"/>
        <family val="2"/>
        <charset val="1"/>
      </rPr>
      <t>Guide</t>
    </r>
    <r>
      <rPr>
        <sz val="18"/>
        <color theme="1"/>
        <rFont val="맑은 고딕"/>
        <family val="2"/>
        <charset val="129"/>
      </rPr>
      <t>참고</t>
    </r>
    <r>
      <rPr>
        <sz val="18"/>
        <color theme="1"/>
        <rFont val="Arial"/>
        <family val="2"/>
        <charset val="1"/>
      </rPr>
      <t>, Reference tip</t>
    </r>
    <r>
      <rPr>
        <sz val="18"/>
        <color theme="1"/>
        <rFont val="맑은 고딕"/>
        <family val="2"/>
        <charset val="129"/>
      </rPr>
      <t xml:space="preserve">을 사용해서 </t>
    </r>
    <r>
      <rPr>
        <sz val="18"/>
        <color theme="1"/>
        <rFont val="Arial"/>
        <family val="2"/>
        <charset val="1"/>
      </rPr>
      <t>thermal tune</t>
    </r>
    <r>
      <rPr>
        <sz val="18"/>
        <color theme="1"/>
        <rFont val="맑은 고딕"/>
        <family val="2"/>
        <charset val="129"/>
      </rPr>
      <t xml:space="preserve">과 </t>
    </r>
    <r>
      <rPr>
        <sz val="18"/>
        <color theme="1"/>
        <rFont val="Arial"/>
        <family val="2"/>
        <charset val="1"/>
      </rPr>
      <t xml:space="preserve">NCM Sweep capture </t>
    </r>
    <r>
      <rPr>
        <sz val="18"/>
        <color theme="1"/>
        <rFont val="맑은 고딕"/>
        <family val="2"/>
        <charset val="129"/>
      </rPr>
      <t>저장</t>
    </r>
    <r>
      <rPr>
        <sz val="18"/>
        <color theme="1"/>
        <rFont val="Arial"/>
        <family val="2"/>
        <charset val="1"/>
      </rPr>
      <t xml:space="preserve">, Thermal Tune </t>
    </r>
    <r>
      <rPr>
        <sz val="18"/>
        <color theme="1"/>
        <rFont val="맑은 고딕"/>
        <family val="2"/>
        <charset val="129"/>
      </rPr>
      <t xml:space="preserve">측정 </t>
    </r>
    <r>
      <rPr>
        <sz val="18"/>
        <color theme="1"/>
        <rFont val="Arial"/>
        <family val="2"/>
        <charset val="1"/>
      </rPr>
      <t xml:space="preserve">Data </t>
    </r>
    <r>
      <rPr>
        <sz val="18"/>
        <color theme="1"/>
        <rFont val="맑은 고딕"/>
        <family val="2"/>
        <charset val="129"/>
      </rPr>
      <t xml:space="preserve">분석시트에 </t>
    </r>
    <r>
      <rPr>
        <sz val="18"/>
        <color theme="1"/>
        <rFont val="Arial"/>
        <family val="2"/>
        <charset val="1"/>
      </rPr>
      <t xml:space="preserve">excel </t>
    </r>
    <r>
      <rPr>
        <sz val="18"/>
        <color theme="1"/>
        <rFont val="맑은 고딕"/>
        <family val="2"/>
        <charset val="129"/>
      </rPr>
      <t>화 필요</t>
    </r>
    <r>
      <rPr>
        <sz val="18"/>
        <color theme="1"/>
        <rFont val="Arial"/>
        <family val="2"/>
        <charset val="1"/>
      </rPr>
      <t xml:space="preserve">(noise </t>
    </r>
    <r>
      <rPr>
        <sz val="18"/>
        <color theme="1"/>
        <rFont val="맑은 고딕"/>
        <family val="2"/>
        <charset val="129"/>
      </rPr>
      <t>분석용</t>
    </r>
    <r>
      <rPr>
        <sz val="18"/>
        <color theme="1"/>
        <rFont val="Arial"/>
        <family val="2"/>
        <charset val="1"/>
      </rPr>
      <t>)</t>
    </r>
  </si>
  <si>
    <t>Resonance frequency of AC160 by frequency sweep</t>
  </si>
  <si>
    <t>Resonance frequency of AC240 by thermal tune</t>
  </si>
  <si>
    <t>Resonance frequency of AC240 by frequency sweep</t>
  </si>
  <si>
    <t>Delete unnecessary files and usage records from the computer according to internal guidelines</t>
  </si>
  <si>
    <r>
      <rPr>
        <sz val="18"/>
        <color theme="1"/>
        <rFont val="Arial"/>
        <family val="2"/>
        <charset val="1"/>
      </rPr>
      <t xml:space="preserve">PC </t>
    </r>
    <r>
      <rPr>
        <sz val="18"/>
        <color theme="1"/>
        <rFont val="맑은 고딕"/>
        <family val="2"/>
        <charset val="129"/>
      </rPr>
      <t>정리 가이드 참고</t>
    </r>
  </si>
  <si>
    <t>Check SW &amp; DB backup (Installed Software, XEA &amp; XEService)</t>
  </si>
  <si>
    <r>
      <rPr>
        <sz val="18"/>
        <color theme="1"/>
        <rFont val="Arial"/>
        <family val="2"/>
        <charset val="1"/>
      </rPr>
      <t>CIM</t>
    </r>
    <r>
      <rPr>
        <sz val="18"/>
        <color theme="1"/>
        <rFont val="맑은 고딕"/>
        <family val="2"/>
        <charset val="129"/>
      </rPr>
      <t xml:space="preserve">에 </t>
    </r>
    <r>
      <rPr>
        <sz val="18"/>
        <color theme="1"/>
        <rFont val="Arial"/>
        <family val="2"/>
        <charset val="1"/>
      </rPr>
      <t xml:space="preserve">Software </t>
    </r>
    <r>
      <rPr>
        <sz val="18"/>
        <color theme="1"/>
        <rFont val="맑은 고딕"/>
        <family val="2"/>
        <charset val="129"/>
      </rPr>
      <t xml:space="preserve">및 </t>
    </r>
    <r>
      <rPr>
        <sz val="18"/>
        <color theme="1"/>
        <rFont val="Arial"/>
        <family val="2"/>
        <charset val="1"/>
      </rPr>
      <t>DB Backup</t>
    </r>
  </si>
  <si>
    <t>Skirt</t>
  </si>
  <si>
    <t>Seismic bracket</t>
  </si>
  <si>
    <t>Check if the bolts used for the AFM core module are assembled with standardized torque</t>
  </si>
  <si>
    <t xml:space="preserve">옆에 표 참고 </t>
  </si>
  <si>
    <t>Check if the cable holders are installed on both the AE and the Cabinet</t>
  </si>
  <si>
    <t>Check the AE FFU cleaning</t>
  </si>
  <si>
    <r>
      <rPr>
        <sz val="18"/>
        <color theme="1"/>
        <rFont val="Arial"/>
        <family val="2"/>
        <charset val="1"/>
      </rPr>
      <t>AE FFU</t>
    </r>
    <r>
      <rPr>
        <sz val="18"/>
        <color theme="1"/>
        <rFont val="맑은 고딕"/>
        <family val="2"/>
        <charset val="129"/>
      </rPr>
      <t xml:space="preserve">가 없는 경우는 </t>
    </r>
    <r>
      <rPr>
        <sz val="18"/>
        <color theme="1"/>
        <rFont val="Arial"/>
        <family val="2"/>
        <charset val="1"/>
      </rPr>
      <t>N/A</t>
    </r>
  </si>
  <si>
    <t>Check the jig bolts for the computer</t>
  </si>
  <si>
    <t>Check the fixation of SECS/GEM cable on the rear of the PC</t>
  </si>
  <si>
    <t>Check that all cables connected to the AFM Controller are securely connected with no looseness or detachment</t>
  </si>
  <si>
    <t>Check that torque markings are applied to the designated fastening bolts</t>
  </si>
  <si>
    <r>
      <rPr>
        <sz val="18"/>
        <color theme="1"/>
        <rFont val="맑은 고딕"/>
        <family val="2"/>
        <charset val="129"/>
      </rPr>
      <t xml:space="preserve">모든 체결볼트 </t>
    </r>
    <r>
      <rPr>
        <sz val="18"/>
        <color theme="1"/>
        <rFont val="Arial"/>
        <family val="2"/>
        <charset val="1"/>
      </rPr>
      <t xml:space="preserve">I-marking </t>
    </r>
    <r>
      <rPr>
        <sz val="18"/>
        <color theme="1"/>
        <rFont val="맑은 고딕"/>
        <family val="2"/>
        <charset val="129"/>
      </rPr>
      <t>확인</t>
    </r>
  </si>
  <si>
    <t>Check that Loctite has been applied to the designated fastening bolts on moving components</t>
  </si>
  <si>
    <r>
      <rPr>
        <sz val="18"/>
        <color theme="1"/>
        <rFont val="맑은 고딕"/>
        <family val="2"/>
        <charset val="129"/>
      </rPr>
      <t xml:space="preserve">모든 구동부 체결볼트 </t>
    </r>
    <r>
      <rPr>
        <sz val="18"/>
        <color theme="1"/>
        <rFont val="Arial"/>
        <family val="2"/>
        <charset val="1"/>
      </rPr>
      <t xml:space="preserve">Locktite </t>
    </r>
    <r>
      <rPr>
        <sz val="18"/>
        <color theme="1"/>
        <rFont val="맑은 고딕"/>
        <family val="2"/>
        <charset val="129"/>
      </rPr>
      <t>적용확인</t>
    </r>
  </si>
  <si>
    <t>Check the crimping condition and tension of connectors</t>
  </si>
  <si>
    <t>모든 커넥터 압착상태 및 장력 확인</t>
  </si>
  <si>
    <t>Check that the power supply fastening check sheet is stored in the equipment</t>
  </si>
  <si>
    <r>
      <rPr>
        <sz val="18"/>
        <color theme="1"/>
        <rFont val="맑은 고딕"/>
        <family val="2"/>
        <charset val="129"/>
      </rPr>
      <t>삼성향 장비 전원 공급부</t>
    </r>
    <r>
      <rPr>
        <sz val="18"/>
        <color theme="1"/>
        <rFont val="Arial Unicode MS"/>
        <family val="3"/>
        <charset val="129"/>
      </rPr>
      <t>(</t>
    </r>
    <r>
      <rPr>
        <sz val="18"/>
        <color theme="1"/>
        <rFont val="Arial"/>
        <family val="3"/>
        <charset val="1"/>
      </rPr>
      <t>Cabinet)</t>
    </r>
    <r>
      <rPr>
        <sz val="18"/>
        <color theme="1"/>
        <rFont val="맑은 고딕"/>
        <family val="2"/>
        <charset val="129"/>
      </rPr>
      <t xml:space="preserve">에 체결체크시트 격납 확인 이외 장비는 </t>
    </r>
    <r>
      <rPr>
        <sz val="18"/>
        <color theme="1"/>
        <rFont val="Arial"/>
        <family val="2"/>
        <charset val="1"/>
      </rPr>
      <t>N/A</t>
    </r>
  </si>
  <si>
    <t>Check that temperature and humidity sensor monitoring is enabled and logs are being saved</t>
  </si>
  <si>
    <r>
      <rPr>
        <sz val="18"/>
        <color theme="1"/>
        <rFont val="Arial"/>
        <family val="2"/>
        <charset val="1"/>
      </rPr>
      <t xml:space="preserve">XEA </t>
    </r>
    <r>
      <rPr>
        <sz val="18"/>
        <color theme="1"/>
        <rFont val="맑은 고딕"/>
        <family val="2"/>
        <charset val="129"/>
      </rPr>
      <t>온습도 모니터링 활성화 및 Log cim 저장</t>
    </r>
  </si>
  <si>
    <t>Misc(T1, T3)</t>
  </si>
  <si>
    <t>Measured resistance value between mounting bolt of Facility Controller and A/E holder ground bar</t>
  </si>
  <si>
    <t>Ω</t>
  </si>
  <si>
    <r>
      <rPr>
        <sz val="18"/>
        <color theme="1"/>
        <rFont val="맑은 고딕"/>
        <family val="2"/>
        <charset val="129"/>
      </rPr>
      <t xml:space="preserve">전원 </t>
    </r>
    <r>
      <rPr>
        <sz val="18"/>
        <color theme="1"/>
        <rFont val="Arial"/>
        <family val="2"/>
        <charset val="1"/>
      </rPr>
      <t xml:space="preserve">off </t>
    </r>
    <r>
      <rPr>
        <sz val="18"/>
        <color theme="1"/>
        <rFont val="맑은 고딕"/>
        <family val="2"/>
        <charset val="129"/>
      </rPr>
      <t xml:space="preserve">상태에서 </t>
    </r>
    <r>
      <rPr>
        <sz val="18"/>
        <color theme="1"/>
        <rFont val="Arial"/>
        <family val="2"/>
        <charset val="1"/>
      </rPr>
      <t xml:space="preserve">Ground </t>
    </r>
    <r>
      <rPr>
        <sz val="18"/>
        <color theme="1"/>
        <rFont val="맑은 고딕"/>
        <family val="2"/>
        <charset val="129"/>
      </rPr>
      <t>확인</t>
    </r>
    <r>
      <rPr>
        <sz val="18"/>
        <color theme="1"/>
        <rFont val="Arial"/>
        <family val="2"/>
        <charset val="1"/>
      </rPr>
      <t xml:space="preserve">/ NX-Wafer ground map Guide </t>
    </r>
    <r>
      <rPr>
        <sz val="18"/>
        <color theme="1"/>
        <rFont val="맑은 고딕"/>
        <family val="2"/>
        <charset val="129"/>
      </rPr>
      <t>확인</t>
    </r>
  </si>
  <si>
    <t>Measured resistance value between Z Scanner body and A/E Cable holder</t>
  </si>
  <si>
    <t>Measured resistance value between XY Scanner and A/E Cable holder</t>
  </si>
  <si>
    <t>Measured resistance value between ATX Top Plate and A/E Cable holder</t>
  </si>
  <si>
    <t>Measured resistance value between XY Stage and A/E Cable holderer</t>
  </si>
  <si>
    <t>Measured resistance value between Focus Stage and A/E Cable holder</t>
  </si>
  <si>
    <t>Measured resistance value between Z Stage and A/E Cable holder</t>
  </si>
  <si>
    <t>Measured resistance value between Frame Board and A/E Cable holder</t>
  </si>
  <si>
    <t>Misc(VLSI)</t>
  </si>
  <si>
    <t>Check the VLSI sample model number and serial number consistency across the box, certification, and sample</t>
  </si>
  <si>
    <t>SHS8-9400/30775-008</t>
  </si>
  <si>
    <t>고객에게 나가는 모든 샘플(VLSI)에 대한 모델넘버/시리얼넘버 확인하여 measurement에 기입 및 사진으로 남겨 서버에 저장(box, certifiation, sample)</t>
  </si>
  <si>
    <r>
      <rPr>
        <sz val="18"/>
        <color theme="1"/>
        <rFont val="맑은 고딕"/>
        <family val="2"/>
        <charset val="129"/>
      </rPr>
      <t>고객에게 나가는 모든 샘플</t>
    </r>
    <r>
      <rPr>
        <sz val="18"/>
        <color theme="1"/>
        <rFont val="Arial"/>
        <family val="2"/>
        <charset val="1"/>
      </rPr>
      <t>(VLSI)</t>
    </r>
    <r>
      <rPr>
        <sz val="18"/>
        <color theme="1"/>
        <rFont val="맑은 고딕"/>
        <family val="2"/>
        <charset val="129"/>
      </rPr>
      <t>에 대한 모델넘버</t>
    </r>
    <r>
      <rPr>
        <sz val="18"/>
        <color theme="1"/>
        <rFont val="Arial"/>
        <family val="2"/>
        <charset val="1"/>
      </rPr>
      <t>/</t>
    </r>
    <r>
      <rPr>
        <sz val="18"/>
        <color theme="1"/>
        <rFont val="맑은 고딕"/>
        <family val="2"/>
        <charset val="129"/>
      </rPr>
      <t xml:space="preserve">시리얼넘버 확인하여 </t>
    </r>
    <r>
      <rPr>
        <sz val="18"/>
        <color theme="1"/>
        <rFont val="Arial"/>
        <family val="2"/>
        <charset val="1"/>
      </rPr>
      <t>measurement</t>
    </r>
    <r>
      <rPr>
        <sz val="18"/>
        <color theme="1"/>
        <rFont val="맑은 고딕"/>
        <family val="2"/>
        <charset val="129"/>
      </rPr>
      <t>에 기입 및 사진으로 남겨 서버에 저장</t>
    </r>
    <r>
      <rPr>
        <sz val="18"/>
        <color theme="1"/>
        <rFont val="Arial"/>
        <family val="2"/>
        <charset val="1"/>
      </rPr>
      <t>(box, certifiation, sample)</t>
    </r>
  </si>
  <si>
    <t>SHS8-4500/30812-010</t>
  </si>
  <si>
    <t>Misc(w/ EFEM)</t>
  </si>
  <si>
    <t>Check that there is no disconnection when using the mouse and keyboard inside the EFEM</t>
  </si>
  <si>
    <t xml:space="preserve">'Xms4096m' in xea.vmoptions </t>
  </si>
  <si>
    <t>Park systems - XEA - Bin - xea.vmoptions</t>
  </si>
  <si>
    <t>'Xmx16384m' in xea.vmoptions</t>
  </si>
  <si>
    <t>'Xms128m' in xei.vmoptions</t>
  </si>
  <si>
    <t>Park systems - XEI - Bin - xei.vmoptions</t>
  </si>
  <si>
    <t>'Xmx2048m' in xei.vmoptions</t>
  </si>
  <si>
    <t>'Dcom.psia.xea.useInDieAlign=true' in xea.vmoptions</t>
  </si>
  <si>
    <t>JAVA JRE version</t>
  </si>
  <si>
    <t>jre-8u191</t>
  </si>
  <si>
    <t>Head Mode in XEA</t>
  </si>
  <si>
    <t>C-AFM, NC-AFM</t>
  </si>
  <si>
    <t>SmartAnalysis version</t>
  </si>
  <si>
    <t>1.4.3.1480</t>
  </si>
  <si>
    <r>
      <rPr>
        <sz val="18"/>
        <color theme="1"/>
        <rFont val="맑은 고딕"/>
        <family val="2"/>
        <charset val="129"/>
      </rPr>
      <t xml:space="preserve">최신 </t>
    </r>
    <r>
      <rPr>
        <sz val="18"/>
        <color theme="1"/>
        <rFont val="Arial"/>
        <family val="2"/>
        <charset val="1"/>
      </rPr>
      <t xml:space="preserve">RTM </t>
    </r>
    <r>
      <rPr>
        <sz val="18"/>
        <color theme="1"/>
        <rFont val="맑은 고딕"/>
        <family val="2"/>
        <charset val="129"/>
      </rPr>
      <t>버전 사용</t>
    </r>
  </si>
  <si>
    <t>Z scale in XEA</t>
  </si>
  <si>
    <t>XEA version</t>
  </si>
  <si>
    <t>5.2.6.RTM4</t>
  </si>
  <si>
    <r>
      <rPr>
        <sz val="18"/>
        <color theme="1"/>
        <rFont val="Arial"/>
        <family val="2"/>
        <charset val="1"/>
      </rPr>
      <t xml:space="preserve">5.2.4 </t>
    </r>
    <r>
      <rPr>
        <sz val="18"/>
        <color theme="1"/>
        <rFont val="맑은 고딕"/>
        <family val="2"/>
        <charset val="129"/>
      </rPr>
      <t>빌드버전</t>
    </r>
    <r>
      <rPr>
        <sz val="18"/>
        <color theme="1"/>
        <rFont val="Arial"/>
        <family val="2"/>
        <charset val="1"/>
      </rPr>
      <t xml:space="preserve">, YMTC </t>
    </r>
    <r>
      <rPr>
        <sz val="18"/>
        <color theme="1"/>
        <rFont val="맑은 고딕"/>
        <family val="2"/>
        <charset val="129"/>
      </rPr>
      <t>제외</t>
    </r>
  </si>
  <si>
    <t>XEService version</t>
  </si>
  <si>
    <t>XEI version</t>
  </si>
  <si>
    <t>5.2.4 B105</t>
  </si>
  <si>
    <t>XEPi version</t>
  </si>
  <si>
    <t>5.2.0 B28</t>
  </si>
  <si>
    <t>Cantilever DB version</t>
  </si>
  <si>
    <t>Head Crash DB setting: A+B Interlock</t>
  </si>
  <si>
    <t>DB: DSP&gt;Cantilever&gt;MinimalIntensity (Cantiliver: AC160TS)</t>
  </si>
  <si>
    <t>Head Crash DB setting: A-B Interlock</t>
  </si>
  <si>
    <t>DB: DSP&gt;Cantilever&gt;SafeErrorSignal (Cantiliver: AC160TS)</t>
  </si>
  <si>
    <t>Head Crash DB setting: Z Detector Interlock</t>
  </si>
  <si>
    <t>DB: DSP/ZStage/HeadCrashThreshold</t>
  </si>
  <si>
    <t>Head Crash DB setting: XY Stage Interlock</t>
  </si>
  <si>
    <t>DB: XYStage/Info/bUseInterlock</t>
  </si>
  <si>
    <t># of AVIS Element</t>
  </si>
  <si>
    <t>ea</t>
  </si>
  <si>
    <t xml:space="preserve">Lateral(C-D) sensitivity </t>
  </si>
  <si>
    <t>mV/nm</t>
  </si>
  <si>
    <t>B100-NCH A-B Calibration(F/D Curve)</t>
  </si>
  <si>
    <t>AFM Controller</t>
  </si>
  <si>
    <t>AFM Controller type</t>
  </si>
  <si>
    <t>IND-M1</t>
  </si>
  <si>
    <t>Firmware version of Motor board</t>
  </si>
  <si>
    <t>0x6e310420</t>
  </si>
  <si>
    <t xml:space="preserve">Firmware version of Base board </t>
  </si>
  <si>
    <t>0x6e110420</t>
  </si>
  <si>
    <t>Line voltage selection</t>
  </si>
  <si>
    <t>VAC</t>
  </si>
  <si>
    <t xml:space="preserve">Check the warranty sticker </t>
  </si>
  <si>
    <t>Z Detector offset</t>
  </si>
  <si>
    <t>AFM Head type</t>
  </si>
  <si>
    <t>Auto Long</t>
  </si>
  <si>
    <t>Probehand type</t>
  </si>
  <si>
    <t>High Frequency</t>
  </si>
  <si>
    <t>NCMDriveRangeLiquidMode</t>
  </si>
  <si>
    <t>Dsp/Info/NCMDriveRangeLiquidMode=1</t>
  </si>
  <si>
    <t>bDisableNCMDriveReduction</t>
  </si>
  <si>
    <t>Dsp/Info/bDisableNCMDriveReduction=1</t>
  </si>
  <si>
    <t>Check the material of the TSH laser align knob</t>
  </si>
  <si>
    <t>노브 재질 확인</t>
  </si>
  <si>
    <t xml:space="preserve">Check the focus stage reset </t>
  </si>
  <si>
    <r>
      <rPr>
        <sz val="18"/>
        <color theme="1"/>
        <rFont val="Arial"/>
        <family val="2"/>
        <charset val="1"/>
      </rPr>
      <t xml:space="preserve">SW Limit </t>
    </r>
    <r>
      <rPr>
        <sz val="18"/>
        <color theme="1"/>
        <rFont val="맑은 고딕"/>
        <family val="2"/>
        <charset val="129"/>
      </rPr>
      <t xml:space="preserve">설정 후 </t>
    </r>
    <r>
      <rPr>
        <sz val="18"/>
        <color theme="1"/>
        <rFont val="Arial"/>
        <family val="2"/>
        <charset val="1"/>
      </rPr>
      <t xml:space="preserve">Focus </t>
    </r>
    <r>
      <rPr>
        <sz val="18"/>
        <color theme="1"/>
        <rFont val="맑은 고딕"/>
        <family val="2"/>
        <charset val="129"/>
      </rPr>
      <t>맨위</t>
    </r>
    <r>
      <rPr>
        <sz val="18"/>
        <color theme="1"/>
        <rFont val="Arial"/>
        <family val="2"/>
        <charset val="1"/>
      </rPr>
      <t>/</t>
    </r>
    <r>
      <rPr>
        <sz val="18"/>
        <color theme="1"/>
        <rFont val="맑은 고딕"/>
        <family val="2"/>
        <charset val="129"/>
      </rPr>
      <t xml:space="preserve">맨아래 쪽에서 </t>
    </r>
    <r>
      <rPr>
        <sz val="18"/>
        <color theme="1"/>
        <rFont val="Arial"/>
        <family val="2"/>
        <charset val="1"/>
      </rPr>
      <t xml:space="preserve">Reset </t>
    </r>
    <r>
      <rPr>
        <sz val="18"/>
        <color theme="1"/>
        <rFont val="맑은 고딕"/>
        <family val="2"/>
        <charset val="129"/>
      </rPr>
      <t>진행시 정상동작 여부 확인</t>
    </r>
  </si>
  <si>
    <t>Check for interface between the focus stage and head cover when lowering the focus stage</t>
  </si>
  <si>
    <r>
      <rPr>
        <sz val="18"/>
        <color theme="1"/>
        <rFont val="Arial"/>
        <family val="2"/>
        <charset val="1"/>
      </rPr>
      <t>TSH</t>
    </r>
    <r>
      <rPr>
        <sz val="18"/>
        <color theme="1"/>
        <rFont val="맑은 고딕"/>
        <family val="2"/>
        <charset val="129"/>
      </rPr>
      <t xml:space="preserve">가 아닌 경우는 </t>
    </r>
    <r>
      <rPr>
        <sz val="18"/>
        <color theme="1"/>
        <rFont val="Arial"/>
        <family val="2"/>
        <charset val="1"/>
      </rPr>
      <t>N/A</t>
    </r>
  </si>
  <si>
    <t>Check the torque marking on the encoder bracket mounting bolts</t>
  </si>
  <si>
    <t>Check encoder surface is clean</t>
  </si>
  <si>
    <t>Encoder model</t>
  </si>
  <si>
    <t>V2BCH</t>
  </si>
  <si>
    <r>
      <rPr>
        <sz val="18"/>
        <color theme="1"/>
        <rFont val="Arial"/>
        <family val="2"/>
        <charset val="1"/>
      </rPr>
      <t xml:space="preserve">encoder </t>
    </r>
    <r>
      <rPr>
        <sz val="18"/>
        <color theme="1"/>
        <rFont val="맑은 고딕"/>
        <family val="2"/>
        <charset val="129"/>
      </rPr>
      <t>육안으로 확인</t>
    </r>
    <r>
      <rPr>
        <sz val="18"/>
        <color theme="1"/>
        <rFont val="Arial"/>
        <family val="2"/>
        <charset val="1"/>
      </rPr>
      <t>(</t>
    </r>
    <r>
      <rPr>
        <sz val="18"/>
        <color theme="1"/>
        <rFont val="맑은 고딕"/>
        <family val="2"/>
        <charset val="129"/>
      </rPr>
      <t>품명적혀있음</t>
    </r>
    <r>
      <rPr>
        <sz val="18"/>
        <color theme="1"/>
        <rFont val="Arial"/>
        <family val="2"/>
        <charset val="1"/>
      </rPr>
      <t xml:space="preserve">), </t>
    </r>
    <r>
      <rPr>
        <sz val="18"/>
        <color theme="1"/>
        <rFont val="맑은 고딕"/>
        <family val="2"/>
        <charset val="129"/>
      </rPr>
      <t>확인후 기입</t>
    </r>
  </si>
  <si>
    <t>Check upper limit sensor function</t>
  </si>
  <si>
    <t>Check lower limit sensor function</t>
  </si>
  <si>
    <t>LowerLimit</t>
  </si>
  <si>
    <t>H/W lower limit+500um</t>
  </si>
  <si>
    <t>HW limit+500um</t>
  </si>
  <si>
    <t xml:space="preserve">Check encoder reader LED </t>
  </si>
  <si>
    <t>Blue</t>
  </si>
  <si>
    <t>V2BCH : Good-Blue</t>
  </si>
  <si>
    <t>UpperLimit</t>
  </si>
  <si>
    <t>AutoFocus Range (Tip Focus / Sample Focus)</t>
  </si>
  <si>
    <t>AutoFocus Speed (Tip Focus / Sample Focus)</t>
  </si>
  <si>
    <t>um/s</t>
  </si>
  <si>
    <t>Fine Autofocus Range (Tip Focus / Sample Focus)</t>
  </si>
  <si>
    <t>Fine Autofocus Speed (Tip Focus / Sample Focus)</t>
  </si>
  <si>
    <t>UseEncoder</t>
  </si>
  <si>
    <t>FocusStage in DB</t>
  </si>
  <si>
    <t>EncoderResolution</t>
  </si>
  <si>
    <r>
      <rPr>
        <sz val="18"/>
        <color theme="1"/>
        <rFont val="Arial"/>
        <family val="2"/>
        <charset val="1"/>
      </rPr>
      <t xml:space="preserve">Encoder </t>
    </r>
    <r>
      <rPr>
        <sz val="18"/>
        <color theme="1"/>
        <rFont val="맑은 고딕"/>
        <family val="2"/>
        <charset val="129"/>
      </rPr>
      <t xml:space="preserve">품명 육안 확인후 검색하여 </t>
    </r>
    <r>
      <rPr>
        <sz val="18"/>
        <color theme="1"/>
        <rFont val="Arial"/>
        <family val="2"/>
        <charset val="1"/>
      </rPr>
      <t xml:space="preserve">Resolution </t>
    </r>
    <r>
      <rPr>
        <sz val="18"/>
        <color theme="1"/>
        <rFont val="맑은 고딕"/>
        <family val="2"/>
        <charset val="129"/>
      </rPr>
      <t>확인</t>
    </r>
  </si>
  <si>
    <t>Fine Autofocus Offset (Tip Focus / Sample Focus)</t>
  </si>
  <si>
    <t>Main Body</t>
  </si>
  <si>
    <t>Temperature sensor on Z stage</t>
  </si>
  <si>
    <t>Firmware version of Frame board</t>
  </si>
  <si>
    <t>0x6e250420</t>
  </si>
  <si>
    <t>Check chuck surface no damage</t>
  </si>
  <si>
    <t>Ground connection</t>
  </si>
  <si>
    <r>
      <rPr>
        <sz val="18"/>
        <color theme="1"/>
        <rFont val="Arial"/>
        <family val="2"/>
        <charset val="1"/>
      </rPr>
      <t>AL</t>
    </r>
    <r>
      <rPr>
        <sz val="18"/>
        <color theme="1"/>
        <rFont val="맑은 고딕"/>
        <family val="2"/>
        <charset val="129"/>
      </rPr>
      <t xml:space="preserve">재질 및 </t>
    </r>
    <r>
      <rPr>
        <sz val="18"/>
        <color theme="1"/>
        <rFont val="Arial"/>
        <family val="2"/>
        <charset val="1"/>
      </rPr>
      <t xml:space="preserve">eAFM Sample chuck </t>
    </r>
    <r>
      <rPr>
        <sz val="18"/>
        <color theme="1"/>
        <rFont val="맑은 고딕"/>
        <family val="2"/>
        <charset val="129"/>
      </rPr>
      <t>제외</t>
    </r>
  </si>
  <si>
    <t>Sample chuck type</t>
  </si>
  <si>
    <t>Pin Bar type</t>
  </si>
  <si>
    <r>
      <rPr>
        <sz val="18"/>
        <color theme="1"/>
        <rFont val="Arial"/>
        <family val="2"/>
        <charset val="1"/>
      </rPr>
      <t>Mask</t>
    </r>
    <r>
      <rPr>
        <sz val="18"/>
        <color theme="1"/>
        <rFont val="맑은 고딕"/>
        <family val="2"/>
        <charset val="129"/>
      </rPr>
      <t xml:space="preserve">는 </t>
    </r>
    <r>
      <rPr>
        <sz val="18"/>
        <color theme="1"/>
        <rFont val="Arial"/>
        <family val="2"/>
        <charset val="1"/>
      </rPr>
      <t>N/A</t>
    </r>
  </si>
  <si>
    <t>Sample chuck material</t>
  </si>
  <si>
    <t>SiC</t>
  </si>
  <si>
    <t>Tip position sample in XEA</t>
  </si>
  <si>
    <t>Taught</t>
  </si>
  <si>
    <t>Sample Chuck(Sample holder)</t>
  </si>
  <si>
    <t xml:space="preserve">Check sample holder </t>
  </si>
  <si>
    <t xml:space="preserve">Check the white balance </t>
  </si>
  <si>
    <r>
      <rPr>
        <sz val="18"/>
        <color theme="1"/>
        <rFont val="Arial"/>
        <family val="2"/>
        <charset val="1"/>
      </rPr>
      <t>Tip-Sample Distance</t>
    </r>
    <r>
      <rPr>
        <sz val="18"/>
        <color theme="1"/>
        <rFont val="맑은 고딕"/>
        <family val="2"/>
        <charset val="129"/>
      </rPr>
      <t xml:space="preserve">가 어느정도 떨어져 있는 상태에서 </t>
    </r>
    <r>
      <rPr>
        <sz val="18"/>
        <color theme="1"/>
        <rFont val="Arial"/>
        <family val="2"/>
        <charset val="1"/>
      </rPr>
      <t>White Paper</t>
    </r>
    <r>
      <rPr>
        <sz val="18"/>
        <color theme="1"/>
        <rFont val="맑은 고딕"/>
        <family val="2"/>
        <charset val="129"/>
      </rPr>
      <t xml:space="preserve">에 </t>
    </r>
    <r>
      <rPr>
        <sz val="18"/>
        <color theme="1"/>
        <rFont val="Arial"/>
        <family val="2"/>
        <charset val="1"/>
      </rPr>
      <t>Focusing -Brightness 80/Contrast 0/Light strength 50 --&gt; White Balance</t>
    </r>
    <r>
      <rPr>
        <sz val="18"/>
        <color theme="1"/>
        <rFont val="맑은 고딕"/>
        <family val="2"/>
        <charset val="129"/>
      </rPr>
      <t xml:space="preserve">를 여러 번 클릭해서 </t>
    </r>
    <r>
      <rPr>
        <sz val="18"/>
        <color theme="1"/>
        <rFont val="Arial"/>
        <family val="2"/>
        <charset val="1"/>
      </rPr>
      <t xml:space="preserve">WB </t>
    </r>
    <r>
      <rPr>
        <sz val="18"/>
        <color theme="1"/>
        <rFont val="맑은 고딕"/>
        <family val="2"/>
        <charset val="129"/>
      </rPr>
      <t>맞추기</t>
    </r>
    <r>
      <rPr>
        <sz val="18"/>
        <color theme="1"/>
        <rFont val="Arial"/>
        <family val="2"/>
        <charset val="1"/>
      </rPr>
      <t xml:space="preserve">(Vision </t>
    </r>
    <r>
      <rPr>
        <sz val="18"/>
        <color theme="1"/>
        <rFont val="맑은 고딕"/>
        <family val="2"/>
        <charset val="129"/>
      </rPr>
      <t xml:space="preserve">밝기가 변화 없을 때까지 </t>
    </r>
    <r>
      <rPr>
        <sz val="18"/>
        <color theme="1"/>
        <rFont val="Arial"/>
        <family val="2"/>
        <charset val="1"/>
      </rPr>
      <t>-&gt; Gray Color)</t>
    </r>
  </si>
  <si>
    <t xml:space="preserve">Check that the camera's white balance setting is saved </t>
  </si>
  <si>
    <r>
      <rPr>
        <sz val="18"/>
        <color theme="1"/>
        <rFont val="Arial"/>
        <family val="2"/>
        <charset val="1"/>
      </rPr>
      <t xml:space="preserve">Guide </t>
    </r>
    <r>
      <rPr>
        <sz val="18"/>
        <color theme="1"/>
        <rFont val="맑은 고딕"/>
        <family val="2"/>
        <charset val="129"/>
      </rPr>
      <t xml:space="preserve">참고 </t>
    </r>
    <r>
      <rPr>
        <sz val="18"/>
        <color theme="1"/>
        <rFont val="Arial"/>
        <family val="2"/>
        <charset val="1"/>
      </rPr>
      <t>: Vimba</t>
    </r>
    <r>
      <rPr>
        <sz val="18"/>
        <color theme="1"/>
        <rFont val="맑은 고딕"/>
        <family val="2"/>
        <charset val="129"/>
      </rPr>
      <t>에서 설정진행</t>
    </r>
  </si>
  <si>
    <t>Check Camera illumination function</t>
  </si>
  <si>
    <r>
      <rPr>
        <sz val="18"/>
        <color theme="1"/>
        <rFont val="Arial"/>
        <family val="2"/>
        <charset val="1"/>
      </rPr>
      <t>Tip</t>
    </r>
    <r>
      <rPr>
        <sz val="18"/>
        <color theme="1"/>
        <rFont val="맑은 고딕"/>
        <family val="2"/>
        <charset val="129"/>
      </rPr>
      <t xml:space="preserve">이나 </t>
    </r>
    <r>
      <rPr>
        <sz val="18"/>
        <color theme="1"/>
        <rFont val="Arial"/>
        <family val="2"/>
        <charset val="1"/>
      </rPr>
      <t xml:space="preserve">Sample focus </t>
    </r>
    <r>
      <rPr>
        <sz val="18"/>
        <color theme="1"/>
        <rFont val="맑은 고딕"/>
        <family val="2"/>
        <charset val="129"/>
      </rPr>
      <t xml:space="preserve">후 </t>
    </r>
    <r>
      <rPr>
        <sz val="18"/>
        <color theme="1"/>
        <rFont val="Arial"/>
        <family val="2"/>
        <charset val="1"/>
      </rPr>
      <t>1. Light Strength100%(Capture) 2. Light strength 0%(Capture) (Contrast 50%, Brightness</t>
    </r>
    <r>
      <rPr>
        <sz val="18"/>
        <color theme="1"/>
        <rFont val="맑은 고딕"/>
        <family val="2"/>
        <charset val="129"/>
      </rPr>
      <t xml:space="preserve">는 </t>
    </r>
    <r>
      <rPr>
        <sz val="18"/>
        <color theme="1"/>
        <rFont val="Arial"/>
        <family val="2"/>
        <charset val="1"/>
      </rPr>
      <t>50%)</t>
    </r>
  </si>
  <si>
    <t>Check sample autofocus function</t>
  </si>
  <si>
    <t>Check tip auto focus function</t>
  </si>
  <si>
    <t>Check tip pattern recognition</t>
  </si>
  <si>
    <t>Check LightSource ON</t>
  </si>
  <si>
    <t>LightSource(LED) Color</t>
  </si>
  <si>
    <t>White</t>
  </si>
  <si>
    <t>Supply power of the on-axis camera through PoE</t>
  </si>
  <si>
    <t>No</t>
  </si>
  <si>
    <t>Supply power of the on-axis camera through frame board</t>
  </si>
  <si>
    <t>Camera model</t>
  </si>
  <si>
    <t>Mako G-507C</t>
  </si>
  <si>
    <t xml:space="preserve">Camera maker </t>
  </si>
  <si>
    <t>AVT_GIGECAM</t>
  </si>
  <si>
    <t>Carmera in Vision DB</t>
  </si>
  <si>
    <t>Camera alignment</t>
  </si>
  <si>
    <r>
      <rPr>
        <sz val="18"/>
        <color theme="1"/>
        <rFont val="Arial"/>
        <family val="2"/>
        <charset val="1"/>
      </rPr>
      <t>Vision</t>
    </r>
    <r>
      <rPr>
        <sz val="18"/>
        <color theme="1"/>
        <rFont val="맑은 고딕"/>
        <family val="2"/>
        <charset val="129"/>
      </rPr>
      <t xml:space="preserve">상에 보여지는 </t>
    </r>
    <r>
      <rPr>
        <sz val="18"/>
        <color theme="1"/>
        <rFont val="Arial"/>
        <family val="2"/>
        <charset val="1"/>
      </rPr>
      <t>Chip carrier</t>
    </r>
    <r>
      <rPr>
        <sz val="18"/>
        <color theme="1"/>
        <rFont val="맑은 고딕"/>
        <family val="2"/>
        <charset val="129"/>
      </rPr>
      <t>의 상단 축과</t>
    </r>
    <r>
      <rPr>
        <sz val="18"/>
        <color theme="1"/>
        <rFont val="Arial"/>
        <family val="2"/>
        <charset val="1"/>
      </rPr>
      <t>(</t>
    </r>
    <r>
      <rPr>
        <sz val="18"/>
        <color theme="1"/>
        <rFont val="맑은 고딕"/>
        <family val="2"/>
        <charset val="129"/>
      </rPr>
      <t>비전 상단끝에 걸치도록 조정</t>
    </r>
    <r>
      <rPr>
        <sz val="18"/>
        <color theme="1"/>
        <rFont val="Arial"/>
        <family val="2"/>
        <charset val="1"/>
      </rPr>
      <t xml:space="preserve">) </t>
    </r>
    <r>
      <rPr>
        <sz val="18"/>
        <color theme="1"/>
        <rFont val="맑은 고딕"/>
        <family val="2"/>
        <charset val="129"/>
      </rPr>
      <t xml:space="preserve">비전 상단 끝부분 영역이 </t>
    </r>
    <r>
      <rPr>
        <sz val="18"/>
        <color theme="1"/>
        <rFont val="Arial"/>
        <family val="2"/>
        <charset val="1"/>
      </rPr>
      <t xml:space="preserve">Rotate </t>
    </r>
    <r>
      <rPr>
        <sz val="18"/>
        <color theme="1"/>
        <rFont val="맑은 고딕"/>
        <family val="2"/>
        <charset val="129"/>
      </rPr>
      <t xml:space="preserve">없이 수평으로 맞추어져 있는지 </t>
    </r>
    <r>
      <rPr>
        <sz val="18"/>
        <color theme="1"/>
        <rFont val="Arial"/>
        <family val="2"/>
        <charset val="1"/>
      </rPr>
      <t xml:space="preserve">Check, </t>
    </r>
    <r>
      <rPr>
        <sz val="18"/>
        <color theme="1"/>
        <rFont val="맑은 고딕"/>
        <family val="2"/>
        <charset val="129"/>
      </rPr>
      <t xml:space="preserve">필요시 </t>
    </r>
    <r>
      <rPr>
        <sz val="18"/>
        <color theme="1"/>
        <rFont val="Arial"/>
        <family val="2"/>
        <charset val="1"/>
      </rPr>
      <t>Camera Angle</t>
    </r>
    <r>
      <rPr>
        <sz val="18"/>
        <color theme="1"/>
        <rFont val="맑은 고딕"/>
        <family val="2"/>
        <charset val="129"/>
      </rPr>
      <t xml:space="preserve">을 조정 </t>
    </r>
  </si>
  <si>
    <t>Vision software version</t>
  </si>
  <si>
    <t>7.0.2</t>
  </si>
  <si>
    <t xml:space="preserve">FullPixel </t>
  </si>
  <si>
    <t xml:space="preserve">FullPixelHeight </t>
  </si>
  <si>
    <t>GT2450C : 1830, Mako G-507C : 1828</t>
  </si>
  <si>
    <t>Camera FPS(FramePerSecond) of large view</t>
  </si>
  <si>
    <t>FPS</t>
  </si>
  <si>
    <r>
      <rPr>
        <sz val="18"/>
        <color theme="1"/>
        <rFont val="Arial"/>
        <family val="2"/>
        <charset val="1"/>
      </rPr>
      <t xml:space="preserve">Large view </t>
    </r>
    <r>
      <rPr>
        <sz val="18"/>
        <color theme="1"/>
        <rFont val="맑은 고딕"/>
        <family val="2"/>
        <charset val="129"/>
      </rPr>
      <t xml:space="preserve">일때의 </t>
    </r>
    <r>
      <rPr>
        <sz val="18"/>
        <color theme="1"/>
        <rFont val="Arial"/>
        <family val="2"/>
        <charset val="1"/>
      </rPr>
      <t xml:space="preserve">FPS </t>
    </r>
    <r>
      <rPr>
        <sz val="18"/>
        <color theme="1"/>
        <rFont val="맑은 고딕"/>
        <family val="2"/>
        <charset val="129"/>
      </rPr>
      <t>기입</t>
    </r>
  </si>
  <si>
    <t>Check the torque marking on the XY stage mounting bolts</t>
  </si>
  <si>
    <t>Check that anti-loosening washers are applied to the XY stage mounting bolts</t>
  </si>
  <si>
    <t>Check that the motor cable of the XY stage does not interfere with the motor</t>
  </si>
  <si>
    <t>Check that the gore cable of the XY stage is equipped with a cable guard</t>
  </si>
  <si>
    <r>
      <rPr>
        <sz val="18"/>
        <color theme="1"/>
        <rFont val="맑은 고딕"/>
        <family val="2"/>
        <charset val="129"/>
      </rPr>
      <t xml:space="preserve">산업용 분리형 </t>
    </r>
    <r>
      <rPr>
        <sz val="18"/>
        <color theme="1"/>
        <rFont val="Arial"/>
        <family val="2"/>
        <charset val="1"/>
      </rPr>
      <t xml:space="preserve">wide type XY Stage </t>
    </r>
    <r>
      <rPr>
        <sz val="18"/>
        <color theme="1"/>
        <rFont val="맑은 고딕"/>
        <family val="2"/>
        <charset val="129"/>
      </rPr>
      <t>적용</t>
    </r>
    <r>
      <rPr>
        <sz val="18"/>
        <color theme="1"/>
        <rFont val="Arial"/>
        <family val="2"/>
        <charset val="1"/>
      </rPr>
      <t xml:space="preserve">, </t>
    </r>
    <r>
      <rPr>
        <sz val="18"/>
        <color theme="1"/>
        <rFont val="맑은 고딕"/>
        <family val="2"/>
        <charset val="129"/>
      </rPr>
      <t xml:space="preserve">이외는 </t>
    </r>
    <r>
      <rPr>
        <sz val="18"/>
        <color theme="1"/>
        <rFont val="Arial"/>
        <family val="2"/>
        <charset val="1"/>
      </rPr>
      <t xml:space="preserve">N/A </t>
    </r>
    <r>
      <rPr>
        <sz val="18"/>
        <color theme="1"/>
        <rFont val="맑은 고딕"/>
        <family val="2"/>
        <charset val="129"/>
      </rPr>
      <t>처리</t>
    </r>
  </si>
  <si>
    <t>Check that a friction-reducing pad is applied to the XY stage cable veyor</t>
  </si>
  <si>
    <t>Check X axis (+) limit sensor function</t>
  </si>
  <si>
    <t>Check X axis (-) limit sensor function</t>
  </si>
  <si>
    <t>Check Y axis (+) limit sensor function</t>
  </si>
  <si>
    <t>Check Y axis (-) limit sensor function</t>
  </si>
  <si>
    <t>Check XY stage reset</t>
  </si>
  <si>
    <r>
      <rPr>
        <sz val="18"/>
        <color theme="1"/>
        <rFont val="Arial"/>
        <family val="2"/>
        <charset val="1"/>
      </rPr>
      <t xml:space="preserve">SW Limit </t>
    </r>
    <r>
      <rPr>
        <sz val="18"/>
        <color theme="1"/>
        <rFont val="맑은 고딕"/>
        <family val="2"/>
        <charset val="129"/>
      </rPr>
      <t xml:space="preserve">설정 후 </t>
    </r>
    <r>
      <rPr>
        <sz val="18"/>
        <color theme="1"/>
        <rFont val="Arial"/>
        <family val="2"/>
        <charset val="1"/>
      </rPr>
      <t xml:space="preserve">XY Stage </t>
    </r>
    <r>
      <rPr>
        <sz val="18"/>
        <color theme="1"/>
        <rFont val="맑은 고딕"/>
        <family val="2"/>
        <charset val="129"/>
      </rPr>
      <t>상</t>
    </r>
    <r>
      <rPr>
        <sz val="18"/>
        <color theme="1"/>
        <rFont val="Arial"/>
        <family val="2"/>
        <charset val="1"/>
      </rPr>
      <t>/</t>
    </r>
    <r>
      <rPr>
        <sz val="18"/>
        <color theme="1"/>
        <rFont val="맑은 고딕"/>
        <family val="2"/>
        <charset val="129"/>
      </rPr>
      <t>하</t>
    </r>
    <r>
      <rPr>
        <sz val="18"/>
        <color theme="1"/>
        <rFont val="Arial"/>
        <family val="2"/>
        <charset val="1"/>
      </rPr>
      <t>/</t>
    </r>
    <r>
      <rPr>
        <sz val="18"/>
        <color theme="1"/>
        <rFont val="맑은 고딕"/>
        <family val="2"/>
        <charset val="129"/>
      </rPr>
      <t>좌</t>
    </r>
    <r>
      <rPr>
        <sz val="18"/>
        <color theme="1"/>
        <rFont val="Arial"/>
        <family val="2"/>
        <charset val="1"/>
      </rPr>
      <t>/</t>
    </r>
    <r>
      <rPr>
        <sz val="18"/>
        <color theme="1"/>
        <rFont val="맑은 고딕"/>
        <family val="2"/>
        <charset val="129"/>
      </rPr>
      <t xml:space="preserve">우 끝쪽에서 </t>
    </r>
    <r>
      <rPr>
        <sz val="18"/>
        <color theme="1"/>
        <rFont val="Arial"/>
        <family val="2"/>
        <charset val="1"/>
      </rPr>
      <t xml:space="preserve">Reset </t>
    </r>
    <r>
      <rPr>
        <sz val="18"/>
        <color theme="1"/>
        <rFont val="맑은 고딕"/>
        <family val="2"/>
        <charset val="129"/>
      </rPr>
      <t>진행시 정상동작 여부 확인</t>
    </r>
  </si>
  <si>
    <t>Check X axis encoder surface is clean</t>
  </si>
  <si>
    <t>Check Y axis encoder surface is clean</t>
  </si>
  <si>
    <t>Save XY stage setup file</t>
  </si>
  <si>
    <t>Suction</t>
  </si>
  <si>
    <t>Enabled</t>
  </si>
  <si>
    <t>Check the sample align</t>
  </si>
  <si>
    <t xml:space="preserve">circle align, mask align </t>
  </si>
  <si>
    <r>
      <rPr>
        <sz val="18"/>
        <color theme="1"/>
        <rFont val="Arial"/>
        <family val="2"/>
        <charset val="1"/>
      </rPr>
      <t xml:space="preserve">XY Stage </t>
    </r>
    <r>
      <rPr>
        <sz val="18"/>
        <color theme="1"/>
        <rFont val="맑은 고딕"/>
        <family val="2"/>
        <charset val="129"/>
      </rPr>
      <t>상판</t>
    </r>
    <r>
      <rPr>
        <sz val="18"/>
        <color theme="1"/>
        <rFont val="Arial"/>
        <family val="2"/>
        <charset val="1"/>
      </rPr>
      <t>/</t>
    </r>
    <r>
      <rPr>
        <sz val="18"/>
        <color theme="1"/>
        <rFont val="맑은 고딕"/>
        <family val="2"/>
        <charset val="129"/>
      </rPr>
      <t xml:space="preserve">하판 사이의 </t>
    </r>
    <r>
      <rPr>
        <sz val="18"/>
        <color theme="1"/>
        <rFont val="Arial"/>
        <family val="2"/>
        <charset val="1"/>
      </rPr>
      <t xml:space="preserve">encoder </t>
    </r>
    <r>
      <rPr>
        <sz val="18"/>
        <color theme="1"/>
        <rFont val="맑은 고딕"/>
        <family val="2"/>
        <charset val="129"/>
      </rPr>
      <t>육안으로 확인</t>
    </r>
    <r>
      <rPr>
        <sz val="18"/>
        <color theme="1"/>
        <rFont val="Arial"/>
        <family val="2"/>
        <charset val="1"/>
      </rPr>
      <t>(</t>
    </r>
    <r>
      <rPr>
        <sz val="18"/>
        <color theme="1"/>
        <rFont val="맑은 고딕"/>
        <family val="2"/>
        <charset val="129"/>
      </rPr>
      <t>품명적혀있음</t>
    </r>
    <r>
      <rPr>
        <sz val="18"/>
        <color theme="1"/>
        <rFont val="Arial"/>
        <family val="2"/>
        <charset val="1"/>
      </rPr>
      <t>)</t>
    </r>
  </si>
  <si>
    <t xml:space="preserve">Maker of the motion control board </t>
  </si>
  <si>
    <t>HCMNEW</t>
  </si>
  <si>
    <t>Info in XY Stage DB</t>
  </si>
  <si>
    <t>Check X axis encoder reader LED</t>
  </si>
  <si>
    <t>Check Y axis encoder reader LED</t>
  </si>
  <si>
    <t>Encoder Resolution</t>
  </si>
  <si>
    <t>BaudRate</t>
  </si>
  <si>
    <r>
      <rPr>
        <sz val="18"/>
        <color theme="1"/>
        <rFont val="Arial"/>
        <family val="2"/>
        <charset val="1"/>
      </rPr>
      <t xml:space="preserve">XY Stage controller </t>
    </r>
    <r>
      <rPr>
        <sz val="18"/>
        <color theme="1"/>
        <rFont val="맑은 고딕"/>
        <family val="2"/>
        <charset val="129"/>
      </rPr>
      <t xml:space="preserve">없는 경우 </t>
    </r>
    <r>
      <rPr>
        <sz val="18"/>
        <color theme="1"/>
        <rFont val="Arial"/>
        <family val="2"/>
        <charset val="1"/>
      </rPr>
      <t>N/A</t>
    </r>
  </si>
  <si>
    <t>Serial Port #</t>
  </si>
  <si>
    <t>XY Stage(300mmx200mm)</t>
  </si>
  <si>
    <t>Sample Loading Position to X</t>
  </si>
  <si>
    <r>
      <rPr>
        <sz val="18"/>
        <color theme="1"/>
        <rFont val="Arial"/>
        <family val="2"/>
        <charset val="1"/>
      </rPr>
      <t>DB</t>
    </r>
    <r>
      <rPr>
        <sz val="18"/>
        <color theme="1"/>
        <rFont val="맑은 고딕"/>
        <family val="2"/>
        <charset val="129"/>
      </rPr>
      <t>값 기입</t>
    </r>
    <r>
      <rPr>
        <sz val="18"/>
        <color theme="1"/>
        <rFont val="Arial"/>
        <family val="2"/>
        <charset val="1"/>
      </rPr>
      <t xml:space="preserve">, XY Stage </t>
    </r>
    <r>
      <rPr>
        <sz val="18"/>
        <color theme="1"/>
        <rFont val="맑은 고딕"/>
        <family val="2"/>
        <charset val="129"/>
      </rPr>
      <t xml:space="preserve">체결위치 </t>
    </r>
    <r>
      <rPr>
        <sz val="18"/>
        <color theme="1"/>
        <rFont val="Arial"/>
        <family val="2"/>
        <charset val="1"/>
      </rPr>
      <t>check</t>
    </r>
  </si>
  <si>
    <t>Sample Loading Position to Y</t>
  </si>
  <si>
    <t>StrokeX</t>
  </si>
  <si>
    <r>
      <rPr>
        <sz val="18"/>
        <color theme="1"/>
        <rFont val="Arial"/>
        <family val="2"/>
        <charset val="1"/>
      </rPr>
      <t>StrokeXMax</t>
    </r>
    <r>
      <rPr>
        <sz val="18"/>
        <color theme="1"/>
        <rFont val="맑은 고딕"/>
        <family val="2"/>
        <charset val="129"/>
      </rPr>
      <t xml:space="preserve">와 </t>
    </r>
    <r>
      <rPr>
        <sz val="18"/>
        <color theme="1"/>
        <rFont val="Arial"/>
        <family val="2"/>
        <charset val="1"/>
      </rPr>
      <t xml:space="preserve">StrokeYMin </t>
    </r>
    <r>
      <rPr>
        <sz val="18"/>
        <color theme="1"/>
        <rFont val="맑은 고딕"/>
        <family val="2"/>
        <charset val="129"/>
      </rPr>
      <t>기입하면 자동</t>
    </r>
  </si>
  <si>
    <t>StrokeXMax</t>
  </si>
  <si>
    <t>StrokeXMin</t>
  </si>
  <si>
    <t>StrokeY</t>
  </si>
  <si>
    <t>StrokeYMax</t>
  </si>
  <si>
    <t>StrokeYMin</t>
  </si>
  <si>
    <t>XY Stage(Sample: 200mm)</t>
  </si>
  <si>
    <t>StageSafetyX</t>
  </si>
  <si>
    <t>StageSafetyXMax</t>
  </si>
  <si>
    <t>StageSafetyXMin</t>
  </si>
  <si>
    <t>StageSafetyY</t>
  </si>
  <si>
    <t>StageSafetyYMax</t>
  </si>
  <si>
    <t>StageSafetyYMin</t>
  </si>
  <si>
    <t>Check the Z stage reset</t>
  </si>
  <si>
    <r>
      <rPr>
        <sz val="18"/>
        <color theme="1"/>
        <rFont val="Arial"/>
        <family val="2"/>
        <charset val="1"/>
      </rPr>
      <t xml:space="preserve">SW Limit </t>
    </r>
    <r>
      <rPr>
        <sz val="18"/>
        <color theme="1"/>
        <rFont val="맑은 고딕"/>
        <family val="2"/>
        <charset val="129"/>
      </rPr>
      <t xml:space="preserve">설정 후 </t>
    </r>
    <r>
      <rPr>
        <sz val="18"/>
        <color theme="1"/>
        <rFont val="Arial"/>
        <family val="2"/>
        <charset val="1"/>
      </rPr>
      <t xml:space="preserve">Z Stage </t>
    </r>
    <r>
      <rPr>
        <sz val="18"/>
        <color theme="1"/>
        <rFont val="맑은 고딕"/>
        <family val="2"/>
        <charset val="129"/>
      </rPr>
      <t>맨위</t>
    </r>
    <r>
      <rPr>
        <sz val="18"/>
        <color theme="1"/>
        <rFont val="Arial"/>
        <family val="2"/>
        <charset val="1"/>
      </rPr>
      <t>/</t>
    </r>
    <r>
      <rPr>
        <sz val="18"/>
        <color theme="1"/>
        <rFont val="맑은 고딕"/>
        <family val="2"/>
        <charset val="129"/>
      </rPr>
      <t xml:space="preserve">맨아래 쪽에서 </t>
    </r>
    <r>
      <rPr>
        <sz val="18"/>
        <color theme="1"/>
        <rFont val="Arial"/>
        <family val="2"/>
        <charset val="1"/>
      </rPr>
      <t xml:space="preserve">Reset </t>
    </r>
    <r>
      <rPr>
        <sz val="18"/>
        <color theme="1"/>
        <rFont val="맑은 고딕"/>
        <family val="2"/>
        <charset val="129"/>
      </rPr>
      <t>진행시 정상동작 여부 확인</t>
    </r>
  </si>
  <si>
    <r>
      <rPr>
        <sz val="18"/>
        <color theme="1"/>
        <rFont val="Arial"/>
        <family val="2"/>
        <charset val="1"/>
      </rPr>
      <t xml:space="preserve">encoder </t>
    </r>
    <r>
      <rPr>
        <sz val="18"/>
        <color theme="1"/>
        <rFont val="맑은 고딕"/>
        <family val="2"/>
        <charset val="129"/>
      </rPr>
      <t>육안으로 확인</t>
    </r>
    <r>
      <rPr>
        <sz val="18"/>
        <color theme="1"/>
        <rFont val="Arial"/>
        <family val="2"/>
        <charset val="1"/>
      </rPr>
      <t>(</t>
    </r>
    <r>
      <rPr>
        <sz val="18"/>
        <color theme="1"/>
        <rFont val="맑은 고딕"/>
        <family val="2"/>
        <charset val="129"/>
      </rPr>
      <t>품명적혀있음</t>
    </r>
    <r>
      <rPr>
        <sz val="18"/>
        <color theme="1"/>
        <rFont val="Arial"/>
        <family val="2"/>
        <charset val="1"/>
      </rPr>
      <t>)</t>
    </r>
  </si>
  <si>
    <t>1Port, 1Slot Z Stage Position -300um</t>
  </si>
  <si>
    <r>
      <rPr>
        <sz val="18"/>
        <color theme="1"/>
        <rFont val="Arial"/>
        <family val="2"/>
        <charset val="1"/>
      </rPr>
      <t xml:space="preserve">1Port 1Slot -300um, ATX </t>
    </r>
    <r>
      <rPr>
        <sz val="18"/>
        <color theme="1"/>
        <rFont val="맑은 고딕"/>
        <family val="2"/>
        <charset val="129"/>
      </rPr>
      <t xml:space="preserve">없는 경우 </t>
    </r>
    <r>
      <rPr>
        <sz val="18"/>
        <color theme="1"/>
        <rFont val="Arial"/>
        <family val="2"/>
        <charset val="1"/>
      </rPr>
      <t>Samplechuck approach position -500um</t>
    </r>
  </si>
  <si>
    <t xml:space="preserve">UseEncoder </t>
  </si>
  <si>
    <t>ZStage in DB</t>
  </si>
  <si>
    <t xml:space="preserve">HeadCrashThreshold </t>
  </si>
  <si>
    <t>Initial Z</t>
  </si>
  <si>
    <t>Panel: min22000, max29000</t>
  </si>
  <si>
    <t>Z Stage material</t>
  </si>
  <si>
    <t>S45C</t>
  </si>
  <si>
    <r>
      <rPr>
        <sz val="18"/>
        <color theme="1"/>
        <rFont val="맑은 고딕"/>
        <family val="2"/>
        <charset val="129"/>
      </rPr>
      <t>옆 사진 참고하여 해당 두가지 파트에 자석이 각각 붙는지 확인한다</t>
    </r>
    <r>
      <rPr>
        <sz val="18"/>
        <color theme="1"/>
        <rFont val="Arial"/>
        <family val="2"/>
        <charset val="1"/>
      </rPr>
      <t>. (</t>
    </r>
    <r>
      <rPr>
        <sz val="18"/>
        <color theme="1"/>
        <rFont val="맑은 고딕"/>
        <family val="2"/>
        <charset val="129"/>
      </rPr>
      <t xml:space="preserve">붙으면 </t>
    </r>
    <r>
      <rPr>
        <sz val="18"/>
        <color theme="1"/>
        <rFont val="Arial"/>
        <family val="2"/>
        <charset val="1"/>
      </rPr>
      <t xml:space="preserve">s45c, </t>
    </r>
    <r>
      <rPr>
        <sz val="18"/>
        <color theme="1"/>
        <rFont val="맑은 고딕"/>
        <family val="2"/>
        <charset val="129"/>
      </rPr>
      <t xml:space="preserve">아니면 </t>
    </r>
    <r>
      <rPr>
        <sz val="18"/>
        <color theme="1"/>
        <rFont val="Arial"/>
        <family val="2"/>
        <charset val="1"/>
      </rPr>
      <t>Fail)</t>
    </r>
  </si>
  <si>
    <t>Check for interference between the Z and F encoder brackets at the Z stage hardware limit position.</t>
  </si>
  <si>
    <t>ATX</t>
  </si>
  <si>
    <t>Check if the balls are attaching in each slot</t>
  </si>
  <si>
    <t>Check if the magnet can move up and down using a software control</t>
  </si>
  <si>
    <t>Check for CDA leakage</t>
  </si>
  <si>
    <t>Check teaching position of all slots</t>
  </si>
  <si>
    <t>Check Tip checker position</t>
  </si>
  <si>
    <t>Check Probe hand checker</t>
  </si>
  <si>
    <t>Check ATX cover operation &amp; clearance</t>
  </si>
  <si>
    <r>
      <rPr>
        <sz val="18"/>
        <color theme="1"/>
        <rFont val="Arial"/>
        <family val="2"/>
        <charset val="1"/>
      </rPr>
      <t xml:space="preserve">Cover opens/closes smoothly. No physical interference (rubbing, catching) with other components or chassis, PTR </t>
    </r>
    <r>
      <rPr>
        <sz val="18"/>
        <color theme="1"/>
        <rFont val="맑은 고딕"/>
        <family val="2"/>
        <charset val="129"/>
      </rPr>
      <t xml:space="preserve">외에는 </t>
    </r>
    <r>
      <rPr>
        <sz val="18"/>
        <color theme="1"/>
        <rFont val="Arial"/>
        <family val="2"/>
        <charset val="1"/>
      </rPr>
      <t>N/A</t>
    </r>
  </si>
  <si>
    <t>Check if the SID on the EFEM QA report matches the SID on the equipment nameplate</t>
  </si>
  <si>
    <r>
      <rPr>
        <sz val="18"/>
        <color theme="1"/>
        <rFont val="Arial"/>
        <family val="2"/>
        <charset val="1"/>
      </rPr>
      <t xml:space="preserve">EFEM </t>
    </r>
    <r>
      <rPr>
        <sz val="18"/>
        <color theme="1"/>
        <rFont val="맑은 고딕"/>
        <family val="2"/>
        <charset val="129"/>
      </rPr>
      <t xml:space="preserve">업체 </t>
    </r>
    <r>
      <rPr>
        <sz val="18"/>
        <color theme="1"/>
        <rFont val="Arial"/>
        <family val="2"/>
        <charset val="1"/>
      </rPr>
      <t xml:space="preserve">QA </t>
    </r>
    <r>
      <rPr>
        <sz val="18"/>
        <color theme="1"/>
        <rFont val="맑은 고딕"/>
        <family val="2"/>
        <charset val="129"/>
      </rPr>
      <t xml:space="preserve">리포트의 </t>
    </r>
    <r>
      <rPr>
        <sz val="18"/>
        <color theme="1"/>
        <rFont val="Arial"/>
        <family val="2"/>
        <charset val="1"/>
      </rPr>
      <t>SID</t>
    </r>
    <r>
      <rPr>
        <sz val="18"/>
        <color theme="1"/>
        <rFont val="맑은 고딕"/>
        <family val="2"/>
        <charset val="129"/>
      </rPr>
      <t xml:space="preserve">와 실제 장비의 명판 </t>
    </r>
    <r>
      <rPr>
        <sz val="18"/>
        <color theme="1"/>
        <rFont val="Arial"/>
        <family val="2"/>
        <charset val="1"/>
      </rPr>
      <t>SID</t>
    </r>
    <r>
      <rPr>
        <sz val="18"/>
        <color theme="1"/>
        <rFont val="맑은 고딕"/>
        <family val="2"/>
        <charset val="129"/>
      </rPr>
      <t>와 같은지 확인</t>
    </r>
  </si>
  <si>
    <t>Check if there is marking for robot initial position</t>
  </si>
  <si>
    <t>Check the safety interlock</t>
  </si>
  <si>
    <t>Check the load port indicator lamp</t>
  </si>
  <si>
    <t>Check clearance of robot and end effector against other module</t>
  </si>
  <si>
    <r>
      <rPr>
        <sz val="18"/>
        <color theme="1"/>
        <rFont val="Arial"/>
        <family val="2"/>
        <charset val="1"/>
      </rPr>
      <t xml:space="preserve">Loading </t>
    </r>
    <r>
      <rPr>
        <sz val="18"/>
        <color theme="1"/>
        <rFont val="맑은 고딕"/>
        <family val="2"/>
        <charset val="129"/>
      </rPr>
      <t xml:space="preserve">시 간섭여부 </t>
    </r>
    <r>
      <rPr>
        <sz val="18"/>
        <color theme="1"/>
        <rFont val="Arial"/>
        <family val="2"/>
        <charset val="1"/>
      </rPr>
      <t>Check</t>
    </r>
  </si>
  <si>
    <t>Check the cassette ID reader</t>
  </si>
  <si>
    <t>Check the slot mapping</t>
  </si>
  <si>
    <t>Check load and unload from all slot</t>
  </si>
  <si>
    <t>Torque of fixing screws for End-Effector</t>
  </si>
  <si>
    <t>kgf·cm</t>
  </si>
  <si>
    <r>
      <rPr>
        <sz val="18"/>
        <color theme="1"/>
        <rFont val="Arial"/>
        <family val="2"/>
        <charset val="1"/>
      </rPr>
      <t xml:space="preserve">Robot </t>
    </r>
    <r>
      <rPr>
        <sz val="18"/>
        <color theme="1"/>
        <rFont val="맑은 고딕"/>
        <family val="2"/>
        <charset val="129"/>
      </rPr>
      <t xml:space="preserve">및 </t>
    </r>
    <r>
      <rPr>
        <sz val="18"/>
        <color theme="1"/>
        <rFont val="Arial"/>
        <family val="2"/>
        <charset val="1"/>
      </rPr>
      <t>End effector</t>
    </r>
    <r>
      <rPr>
        <sz val="18"/>
        <color theme="1"/>
        <rFont val="맑은 고딕"/>
        <family val="2"/>
        <charset val="129"/>
      </rPr>
      <t>별 토크기준 상이</t>
    </r>
    <r>
      <rPr>
        <sz val="18"/>
        <color theme="1"/>
        <rFont val="Arial"/>
        <family val="2"/>
        <charset val="1"/>
      </rPr>
      <t>, Yaskawa Robot : 5kgf·cm/Tazmo : 7kgf·cm</t>
    </r>
  </si>
  <si>
    <t>Check the light curtain detection</t>
  </si>
  <si>
    <t>Check that a cap is installed on the EFEM door lock bolt</t>
  </si>
  <si>
    <t>Check that a differential pressure control shutter is applied to the EFEM</t>
  </si>
  <si>
    <r>
      <rPr>
        <sz val="18"/>
        <color theme="1"/>
        <rFont val="Arial"/>
        <family val="2"/>
        <charset val="1"/>
      </rPr>
      <t xml:space="preserve">300mm Wafer </t>
    </r>
    <r>
      <rPr>
        <sz val="18"/>
        <color theme="1"/>
        <rFont val="맑은 고딕"/>
        <family val="2"/>
        <charset val="129"/>
      </rPr>
      <t xml:space="preserve">장비인 경우 </t>
    </r>
    <r>
      <rPr>
        <sz val="18"/>
        <color theme="1"/>
        <rFont val="Arial"/>
        <family val="2"/>
        <charset val="1"/>
      </rPr>
      <t xml:space="preserve">Shutter </t>
    </r>
    <r>
      <rPr>
        <sz val="18"/>
        <color theme="1"/>
        <rFont val="맑은 고딕"/>
        <family val="2"/>
        <charset val="129"/>
      </rPr>
      <t>필요</t>
    </r>
    <r>
      <rPr>
        <sz val="18"/>
        <color theme="1"/>
        <rFont val="Arial"/>
        <family val="2"/>
        <charset val="1"/>
      </rPr>
      <t xml:space="preserve">, </t>
    </r>
    <r>
      <rPr>
        <sz val="18"/>
        <color theme="1"/>
        <rFont val="맑은 고딕"/>
        <family val="2"/>
        <charset val="129"/>
      </rPr>
      <t xml:space="preserve">그외는 </t>
    </r>
    <r>
      <rPr>
        <sz val="18"/>
        <color theme="1"/>
        <rFont val="Arial"/>
        <family val="2"/>
        <charset val="1"/>
      </rPr>
      <t>N/A</t>
    </r>
  </si>
  <si>
    <t>Check that an ESD film is attached to the door window of the EFEM</t>
  </si>
  <si>
    <r>
      <rPr>
        <sz val="18"/>
        <color theme="1"/>
        <rFont val="Arial"/>
        <family val="2"/>
        <charset val="1"/>
      </rPr>
      <t xml:space="preserve">Intel </t>
    </r>
    <r>
      <rPr>
        <sz val="18"/>
        <color theme="1"/>
        <rFont val="맑은 고딕"/>
        <family val="2"/>
        <charset val="129"/>
      </rPr>
      <t xml:space="preserve">향인 경우 </t>
    </r>
    <r>
      <rPr>
        <sz val="18"/>
        <color theme="1"/>
        <rFont val="Arial"/>
        <family val="2"/>
        <charset val="1"/>
      </rPr>
      <t>EFEM Door</t>
    </r>
    <r>
      <rPr>
        <sz val="18"/>
        <color theme="1"/>
        <rFont val="맑은 고딕"/>
        <family val="2"/>
        <charset val="129"/>
      </rPr>
      <t xml:space="preserve">에 </t>
    </r>
    <r>
      <rPr>
        <sz val="18"/>
        <color theme="1"/>
        <rFont val="Arial"/>
        <family val="2"/>
        <charset val="1"/>
      </rPr>
      <t xml:space="preserve">ESD </t>
    </r>
    <r>
      <rPr>
        <sz val="18"/>
        <color theme="1"/>
        <rFont val="맑은 고딕"/>
        <family val="2"/>
        <charset val="129"/>
      </rPr>
      <t>필름 부착되어있는지 확인</t>
    </r>
    <r>
      <rPr>
        <sz val="18"/>
        <color theme="1"/>
        <rFont val="Arial"/>
        <family val="2"/>
        <charset val="1"/>
      </rPr>
      <t xml:space="preserve">, </t>
    </r>
    <r>
      <rPr>
        <sz val="18"/>
        <color theme="1"/>
        <rFont val="맑은 고딕"/>
        <family val="2"/>
        <charset val="129"/>
      </rPr>
      <t xml:space="preserve">그외는 </t>
    </r>
    <r>
      <rPr>
        <sz val="18"/>
        <color theme="1"/>
        <rFont val="Arial"/>
        <family val="2"/>
        <charset val="1"/>
      </rPr>
      <t>N/A</t>
    </r>
  </si>
  <si>
    <t>EFEM CDA pressure</t>
  </si>
  <si>
    <t>Mpa</t>
  </si>
  <si>
    <t>EFEM vacuum pressure</t>
  </si>
  <si>
    <t>kpa</t>
  </si>
  <si>
    <t>Indexer SW version</t>
  </si>
  <si>
    <t>5.2.4 Build60</t>
  </si>
  <si>
    <r>
      <rPr>
        <sz val="18"/>
        <color theme="1"/>
        <rFont val="Arial"/>
        <family val="2"/>
        <charset val="1"/>
      </rPr>
      <t xml:space="preserve">KT : Index 5.2.4 Build60 (EFME Robot Disconnect issue </t>
    </r>
    <r>
      <rPr>
        <sz val="18"/>
        <color theme="1"/>
        <rFont val="맑은 고딕"/>
        <family val="2"/>
        <charset val="129"/>
      </rPr>
      <t>개선 SW)</t>
    </r>
  </si>
  <si>
    <t>Check Aligner changes angle reference according to software configuration</t>
  </si>
  <si>
    <t>0deg,90deg,180deg,270deg</t>
  </si>
  <si>
    <t>Check enable pre-load</t>
  </si>
  <si>
    <r>
      <rPr>
        <sz val="18"/>
        <color theme="1"/>
        <rFont val="맑은 고딕"/>
        <family val="2"/>
        <charset val="129"/>
      </rPr>
      <t>출하전</t>
    </r>
    <r>
      <rPr>
        <sz val="18"/>
        <color theme="1"/>
        <rFont val="Arial"/>
        <family val="2"/>
        <charset val="1"/>
      </rPr>
      <t>, XEA</t>
    </r>
    <r>
      <rPr>
        <sz val="18"/>
        <color theme="1"/>
        <rFont val="맑은 고딕"/>
        <family val="2"/>
        <charset val="129"/>
      </rPr>
      <t xml:space="preserve">에서 </t>
    </r>
    <r>
      <rPr>
        <sz val="18"/>
        <color theme="1"/>
        <rFont val="Arial"/>
        <family val="2"/>
        <charset val="1"/>
      </rPr>
      <t>Test</t>
    </r>
  </si>
  <si>
    <t>Level to X axis on the load port 1</t>
  </si>
  <si>
    <t>측정값기입</t>
  </si>
  <si>
    <t>Level to Y axis on the load port 1</t>
  </si>
  <si>
    <t xml:space="preserve">Level to X axis on the robot body  </t>
  </si>
  <si>
    <r>
      <rPr>
        <sz val="18"/>
        <color theme="1"/>
        <rFont val="맑은 고딕"/>
        <family val="2"/>
        <charset val="129"/>
      </rPr>
      <t>검사성적서 값 기입</t>
    </r>
    <r>
      <rPr>
        <sz val="18"/>
        <color theme="1"/>
        <rFont val="Arial"/>
        <family val="2"/>
        <charset val="1"/>
      </rPr>
      <t xml:space="preserve">, </t>
    </r>
    <r>
      <rPr>
        <sz val="18"/>
        <color theme="1"/>
        <rFont val="맑은 고딕"/>
        <family val="2"/>
        <charset val="129"/>
      </rPr>
      <t>로체</t>
    </r>
    <r>
      <rPr>
        <sz val="18"/>
        <color theme="1"/>
        <rFont val="Arial"/>
        <family val="2"/>
        <charset val="1"/>
      </rPr>
      <t>(Super plus) EFEM</t>
    </r>
    <r>
      <rPr>
        <sz val="18"/>
        <color theme="1"/>
        <rFont val="맑은 고딕"/>
        <family val="2"/>
        <charset val="129"/>
      </rPr>
      <t xml:space="preserve">인 경우 </t>
    </r>
    <r>
      <rPr>
        <sz val="18"/>
        <color theme="1"/>
        <rFont val="Arial"/>
        <family val="2"/>
        <charset val="1"/>
      </rPr>
      <t xml:space="preserve">Min, Max </t>
    </r>
    <r>
      <rPr>
        <sz val="18"/>
        <color theme="1"/>
        <rFont val="맑은 고딕"/>
        <family val="2"/>
        <charset val="129"/>
      </rPr>
      <t xml:space="preserve">값 삭제 후 </t>
    </r>
    <r>
      <rPr>
        <sz val="18"/>
        <color theme="1"/>
        <rFont val="Arial"/>
        <family val="2"/>
        <charset val="1"/>
      </rPr>
      <t>Criteria</t>
    </r>
    <r>
      <rPr>
        <sz val="18"/>
        <color theme="1"/>
        <rFont val="맑은 고딕"/>
        <family val="2"/>
        <charset val="129"/>
      </rPr>
      <t xml:space="preserve">에 </t>
    </r>
    <r>
      <rPr>
        <sz val="18"/>
        <color theme="1"/>
        <rFont val="Arial"/>
        <family val="2"/>
        <charset val="1"/>
      </rPr>
      <t>Center</t>
    </r>
    <r>
      <rPr>
        <sz val="18"/>
        <color theme="1"/>
        <rFont val="맑은 고딕"/>
        <family val="2"/>
        <charset val="129"/>
      </rPr>
      <t>로 표시</t>
    </r>
    <r>
      <rPr>
        <sz val="18"/>
        <color theme="1"/>
        <rFont val="Arial"/>
        <family val="2"/>
        <charset val="1"/>
      </rPr>
      <t xml:space="preserve">(Analog leveler bubble </t>
    </r>
    <r>
      <rPr>
        <sz val="18"/>
        <color theme="1"/>
        <rFont val="맑은 고딕"/>
        <family val="2"/>
        <charset val="129"/>
      </rPr>
      <t>위치임</t>
    </r>
    <r>
      <rPr>
        <sz val="18"/>
        <color theme="1"/>
        <rFont val="Arial"/>
        <family val="2"/>
        <charset val="1"/>
      </rPr>
      <t>)</t>
    </r>
  </si>
  <si>
    <t xml:space="preserve">Level to Y axis on the robot body  </t>
  </si>
  <si>
    <t>Level to X axis on the robot Upper arm</t>
  </si>
  <si>
    <r>
      <rPr>
        <sz val="18"/>
        <color theme="1"/>
        <rFont val="맑은 고딕"/>
        <family val="2"/>
        <charset val="129"/>
      </rPr>
      <t>검사성적서 값 기입</t>
    </r>
    <r>
      <rPr>
        <sz val="18"/>
        <color theme="1"/>
        <rFont val="Arial"/>
        <family val="2"/>
        <charset val="1"/>
      </rPr>
      <t xml:space="preserve">, </t>
    </r>
    <r>
      <rPr>
        <sz val="18"/>
        <color theme="1"/>
        <rFont val="맑은 고딕"/>
        <family val="2"/>
        <charset val="129"/>
      </rPr>
      <t>로체</t>
    </r>
    <r>
      <rPr>
        <sz val="18"/>
        <color theme="1"/>
        <rFont val="Arial"/>
        <family val="2"/>
        <charset val="1"/>
      </rPr>
      <t>(Super plus) EFEM</t>
    </r>
    <r>
      <rPr>
        <sz val="18"/>
        <color theme="1"/>
        <rFont val="맑은 고딕"/>
        <family val="2"/>
        <charset val="129"/>
      </rPr>
      <t xml:space="preserve">인 경우 </t>
    </r>
    <r>
      <rPr>
        <sz val="18"/>
        <color theme="1"/>
        <rFont val="Arial"/>
        <family val="2"/>
        <charset val="1"/>
      </rPr>
      <t xml:space="preserve">Min, Max </t>
    </r>
    <r>
      <rPr>
        <sz val="18"/>
        <color theme="1"/>
        <rFont val="맑은 고딕"/>
        <family val="2"/>
        <charset val="129"/>
      </rPr>
      <t xml:space="preserve">값 삭제 후 </t>
    </r>
    <r>
      <rPr>
        <sz val="18"/>
        <color theme="1"/>
        <rFont val="Arial"/>
        <family val="2"/>
        <charset val="1"/>
      </rPr>
      <t>Criteria</t>
    </r>
    <r>
      <rPr>
        <sz val="18"/>
        <color theme="1"/>
        <rFont val="맑은 고딕"/>
        <family val="2"/>
        <charset val="129"/>
      </rPr>
      <t xml:space="preserve">에 </t>
    </r>
    <r>
      <rPr>
        <sz val="18"/>
        <color theme="1"/>
        <rFont val="Arial"/>
        <family val="2"/>
        <charset val="1"/>
      </rPr>
      <t>Center</t>
    </r>
    <r>
      <rPr>
        <sz val="18"/>
        <color theme="1"/>
        <rFont val="맑은 고딕"/>
        <family val="2"/>
        <charset val="129"/>
      </rPr>
      <t>로 표시</t>
    </r>
    <r>
      <rPr>
        <sz val="18"/>
        <color theme="1"/>
        <rFont val="Arial"/>
        <family val="2"/>
        <charset val="1"/>
      </rPr>
      <t xml:space="preserve">(Analog leveler bubble </t>
    </r>
    <r>
      <rPr>
        <sz val="18"/>
        <color theme="1"/>
        <rFont val="맑은 고딕"/>
        <family val="2"/>
        <charset val="129"/>
      </rPr>
      <t>위치임</t>
    </r>
    <r>
      <rPr>
        <sz val="18"/>
        <color theme="1"/>
        <rFont val="Arial"/>
        <family val="2"/>
        <charset val="1"/>
      </rPr>
      <t xml:space="preserve">), Yaskawa type/Non-Yaskawa type spec </t>
    </r>
    <r>
      <rPr>
        <sz val="18"/>
        <color theme="1"/>
        <rFont val="맑은 고딕"/>
        <family val="2"/>
        <charset val="129"/>
      </rPr>
      <t>다름</t>
    </r>
    <r>
      <rPr>
        <sz val="18"/>
        <color theme="1"/>
        <rFont val="Arial"/>
        <family val="2"/>
        <charset val="1"/>
      </rPr>
      <t>(</t>
    </r>
    <r>
      <rPr>
        <sz val="18"/>
        <color theme="1"/>
        <rFont val="맑은 고딕"/>
        <family val="2"/>
        <charset val="129"/>
      </rPr>
      <t>메모참고</t>
    </r>
    <r>
      <rPr>
        <sz val="18"/>
        <color theme="1"/>
        <rFont val="Arial"/>
        <family val="2"/>
        <charset val="1"/>
      </rPr>
      <t>)</t>
    </r>
  </si>
  <si>
    <t>Level to Y axis on the robot Upper arm</t>
  </si>
  <si>
    <t>Measurement of surface resistance of the upper end-effector</t>
  </si>
  <si>
    <r>
      <rPr>
        <sz val="18"/>
        <color theme="1"/>
        <rFont val="Arial"/>
        <family val="2"/>
        <charset val="1"/>
      </rPr>
      <t xml:space="preserve">Pad type End-effector </t>
    </r>
    <r>
      <rPr>
        <sz val="18"/>
        <color theme="1"/>
        <rFont val="맑은 고딕"/>
        <family val="2"/>
        <charset val="129"/>
      </rPr>
      <t xml:space="preserve">만 </t>
    </r>
    <r>
      <rPr>
        <sz val="18"/>
        <color theme="1"/>
        <rFont val="Arial"/>
        <family val="2"/>
        <charset val="1"/>
      </rPr>
      <t xml:space="preserve">PAD </t>
    </r>
    <r>
      <rPr>
        <sz val="18"/>
        <color theme="1"/>
        <rFont val="맑은 고딕"/>
        <family val="2"/>
        <charset val="129"/>
      </rPr>
      <t>표면저항 측정</t>
    </r>
    <r>
      <rPr>
        <sz val="18"/>
        <color theme="1"/>
        <rFont val="Arial"/>
        <family val="2"/>
        <charset val="1"/>
      </rPr>
      <t xml:space="preserve">(Trek </t>
    </r>
    <r>
      <rPr>
        <sz val="18"/>
        <color theme="1"/>
        <rFont val="맑은 고딕"/>
        <family val="2"/>
        <charset val="129"/>
      </rPr>
      <t>사의 표면저항측정기</t>
    </r>
    <r>
      <rPr>
        <sz val="18"/>
        <color theme="1"/>
        <rFont val="Arial"/>
        <family val="2"/>
        <charset val="1"/>
      </rPr>
      <t>(Model 152-1)</t>
    </r>
    <r>
      <rPr>
        <sz val="18"/>
        <color theme="1"/>
        <rFont val="맑은 고딕"/>
        <family val="2"/>
        <charset val="129"/>
      </rPr>
      <t xml:space="preserve">을 사용하여 </t>
    </r>
    <r>
      <rPr>
        <sz val="18"/>
        <color theme="1"/>
        <rFont val="Arial"/>
        <family val="2"/>
        <charset val="1"/>
      </rPr>
      <t xml:space="preserve">100V </t>
    </r>
    <r>
      <rPr>
        <sz val="18"/>
        <color theme="1"/>
        <rFont val="맑은 고딕"/>
        <family val="2"/>
        <charset val="129"/>
      </rPr>
      <t>전압을 가해 측정</t>
    </r>
    <r>
      <rPr>
        <sz val="18"/>
        <color theme="1"/>
        <rFont val="Arial"/>
        <family val="2"/>
        <charset val="1"/>
      </rPr>
      <t xml:space="preserve">), </t>
    </r>
    <r>
      <rPr>
        <sz val="18"/>
        <color theme="1"/>
        <rFont val="맑은 고딕"/>
        <family val="2"/>
        <charset val="129"/>
      </rPr>
      <t xml:space="preserve">아닌경우 </t>
    </r>
    <r>
      <rPr>
        <sz val="18"/>
        <color theme="1"/>
        <rFont val="Arial"/>
        <family val="2"/>
        <charset val="1"/>
      </rPr>
      <t xml:space="preserve">N/A </t>
    </r>
    <r>
      <rPr>
        <sz val="18"/>
        <color theme="1"/>
        <rFont val="맑은 고딕"/>
        <family val="2"/>
        <charset val="129"/>
      </rPr>
      <t xml:space="preserve">선택하고 </t>
    </r>
    <r>
      <rPr>
        <sz val="18"/>
        <color theme="1"/>
        <rFont val="Arial"/>
        <family val="2"/>
        <charset val="1"/>
      </rPr>
      <t xml:space="preserve">Min/Max </t>
    </r>
    <r>
      <rPr>
        <sz val="18"/>
        <color theme="1"/>
        <rFont val="맑은 고딕"/>
        <family val="2"/>
        <charset val="129"/>
      </rPr>
      <t>값 삭제</t>
    </r>
  </si>
  <si>
    <t>Measurement of surface resistance of the lower end-effector</t>
  </si>
  <si>
    <t xml:space="preserve">Serial port number for the load port1 </t>
  </si>
  <si>
    <t xml:space="preserve">Serial port number for the load port2 </t>
  </si>
  <si>
    <t>Level to X axis on the load port 2</t>
  </si>
  <si>
    <t>Level to Y axis on the load port 2</t>
  </si>
  <si>
    <t>EFEM(BCR)</t>
  </si>
  <si>
    <t xml:space="preserve">Serial Port # </t>
  </si>
  <si>
    <r>
      <rPr>
        <sz val="18"/>
        <color theme="1"/>
        <rFont val="Arial"/>
        <family val="2"/>
        <charset val="1"/>
      </rPr>
      <t>Dual loadport</t>
    </r>
    <r>
      <rPr>
        <sz val="18"/>
        <color theme="1"/>
        <rFont val="맑은 고딕"/>
        <family val="2"/>
        <charset val="129"/>
      </rPr>
      <t xml:space="preserve">인 경우 </t>
    </r>
    <r>
      <rPr>
        <sz val="18"/>
        <color theme="1"/>
        <rFont val="Arial"/>
        <family val="2"/>
        <charset val="1"/>
      </rPr>
      <t>2,4</t>
    </r>
  </si>
  <si>
    <t>BCR(Bar Code Reader) teach</t>
  </si>
  <si>
    <t>EFEM(OCR)</t>
  </si>
  <si>
    <t>OCR(Sample ID Reader) Score</t>
  </si>
  <si>
    <r>
      <rPr>
        <sz val="18"/>
        <color theme="1"/>
        <rFont val="Arial"/>
        <family val="2"/>
        <charset val="1"/>
      </rPr>
      <t>ioss</t>
    </r>
    <r>
      <rPr>
        <sz val="18"/>
        <color theme="1"/>
        <rFont val="맑은 고딕"/>
        <family val="2"/>
        <charset val="129"/>
      </rPr>
      <t xml:space="preserve">인 경우 </t>
    </r>
    <r>
      <rPr>
        <sz val="18"/>
        <color theme="1"/>
        <rFont val="Arial"/>
        <family val="2"/>
        <charset val="1"/>
      </rPr>
      <t>: 120 , cognex</t>
    </r>
    <r>
      <rPr>
        <sz val="18"/>
        <color theme="1"/>
        <rFont val="맑은 고딕"/>
        <family val="2"/>
        <charset val="129"/>
      </rPr>
      <t xml:space="preserve">인 경우 </t>
    </r>
    <r>
      <rPr>
        <sz val="18"/>
        <color theme="1"/>
        <rFont val="Arial"/>
        <family val="2"/>
        <charset val="1"/>
      </rPr>
      <t xml:space="preserve">: 198 </t>
    </r>
  </si>
  <si>
    <t>Facility Controller</t>
  </si>
  <si>
    <t>Check facility power cable connection</t>
  </si>
  <si>
    <t>Check main Disconnect Switch On/Off function</t>
  </si>
  <si>
    <t>Check A/E door sensor</t>
  </si>
  <si>
    <t>Check Ionizer controller on/off Switch on controller panel</t>
  </si>
  <si>
    <t>Check on and off of Ionizer</t>
  </si>
  <si>
    <t>Check on and off of Suction</t>
  </si>
  <si>
    <t>Check CCTV for EFEM and AFM</t>
  </si>
  <si>
    <t xml:space="preserve">Check vibration amplifier </t>
  </si>
  <si>
    <t>Check vibration sensors</t>
  </si>
  <si>
    <t>Check A-B interlock alarm</t>
  </si>
  <si>
    <r>
      <rPr>
        <sz val="18"/>
        <color theme="1"/>
        <rFont val="Arial"/>
        <family val="2"/>
        <charset val="1"/>
      </rPr>
      <t xml:space="preserve">Z stage </t>
    </r>
    <r>
      <rPr>
        <sz val="18"/>
        <color theme="1"/>
        <rFont val="맑은 고딕"/>
        <family val="2"/>
        <charset val="129"/>
      </rPr>
      <t>구동시</t>
    </r>
    <r>
      <rPr>
        <sz val="18"/>
        <color theme="1"/>
        <rFont val="Arial"/>
        <family val="2"/>
        <charset val="1"/>
      </rPr>
      <t>, A-B</t>
    </r>
    <r>
      <rPr>
        <sz val="18"/>
        <color theme="1"/>
        <rFont val="맑은 고딕"/>
        <family val="2"/>
        <charset val="129"/>
      </rPr>
      <t xml:space="preserve">값이 </t>
    </r>
    <r>
      <rPr>
        <sz val="18"/>
        <color theme="1"/>
        <rFont val="Arial"/>
        <family val="2"/>
        <charset val="1"/>
      </rPr>
      <t>±3V</t>
    </r>
    <r>
      <rPr>
        <sz val="18"/>
        <color theme="1"/>
        <rFont val="맑은 고딕"/>
        <family val="2"/>
        <charset val="129"/>
      </rPr>
      <t xml:space="preserve">초과시 </t>
    </r>
    <r>
      <rPr>
        <sz val="18"/>
        <color theme="1"/>
        <rFont val="Arial"/>
        <family val="2"/>
        <charset val="1"/>
      </rPr>
      <t xml:space="preserve">Alarm </t>
    </r>
    <r>
      <rPr>
        <sz val="18"/>
        <color theme="1"/>
        <rFont val="맑은 고딕"/>
        <family val="2"/>
        <charset val="129"/>
      </rPr>
      <t>발생확인</t>
    </r>
  </si>
  <si>
    <t>Check A+B Interlock alarm</t>
  </si>
  <si>
    <r>
      <rPr>
        <sz val="18"/>
        <color theme="1"/>
        <rFont val="Arial"/>
        <family val="2"/>
        <charset val="1"/>
      </rPr>
      <t xml:space="preserve">DB : ApproachSetPointRatio = 0.6 </t>
    </r>
    <r>
      <rPr>
        <sz val="18"/>
        <color theme="1"/>
        <rFont val="맑은 고딕"/>
        <family val="2"/>
        <charset val="129"/>
      </rPr>
      <t xml:space="preserve">작을때 </t>
    </r>
    <r>
      <rPr>
        <sz val="18"/>
        <color theme="1"/>
        <rFont val="Arial"/>
        <family val="2"/>
        <charset val="1"/>
      </rPr>
      <t>interlock</t>
    </r>
    <r>
      <rPr>
        <sz val="18"/>
        <color theme="1"/>
        <rFont val="맑은 고딕"/>
        <family val="2"/>
        <charset val="129"/>
      </rPr>
      <t>이 걸리는지</t>
    </r>
  </si>
  <si>
    <t>Check sample sensing on the sample chuck by vacuum pressure</t>
  </si>
  <si>
    <r>
      <rPr>
        <sz val="18"/>
        <color theme="1"/>
        <rFont val="맑은 고딕"/>
        <family val="2"/>
        <charset val="129"/>
      </rPr>
      <t xml:space="preserve">없는경우 </t>
    </r>
    <r>
      <rPr>
        <sz val="18"/>
        <color theme="1"/>
        <rFont val="Arial"/>
        <family val="2"/>
        <charset val="1"/>
      </rPr>
      <t>N/A</t>
    </r>
  </si>
  <si>
    <t>Check A/E lamp on and off by door sensor</t>
  </si>
  <si>
    <r>
      <rPr>
        <sz val="18"/>
        <color theme="1"/>
        <rFont val="Arial"/>
        <family val="2"/>
        <charset val="1"/>
      </rPr>
      <t>Door sensor</t>
    </r>
    <r>
      <rPr>
        <sz val="18"/>
        <color theme="1"/>
        <rFont val="맑은 고딕"/>
        <family val="2"/>
        <charset val="129"/>
      </rPr>
      <t xml:space="preserve">로 </t>
    </r>
    <r>
      <rPr>
        <sz val="18"/>
        <color theme="1"/>
        <rFont val="Arial"/>
        <family val="2"/>
        <charset val="1"/>
      </rPr>
      <t xml:space="preserve">Lamp ON/OFF </t>
    </r>
    <r>
      <rPr>
        <sz val="18"/>
        <color theme="1"/>
        <rFont val="맑은 고딕"/>
        <family val="2"/>
        <charset val="129"/>
      </rPr>
      <t>확인</t>
    </r>
  </si>
  <si>
    <t>Check AVIS controller power on and off</t>
  </si>
  <si>
    <t>Check AVIS controller enable w/o red LED flashing (While XY stage stopped)</t>
  </si>
  <si>
    <r>
      <rPr>
        <sz val="18"/>
        <color theme="1"/>
        <rFont val="Arial"/>
        <family val="2"/>
        <charset val="1"/>
      </rPr>
      <t>Panel</t>
    </r>
    <r>
      <rPr>
        <sz val="18"/>
        <color theme="1"/>
        <rFont val="맑은 고딕"/>
        <family val="2"/>
        <charset val="129"/>
      </rPr>
      <t xml:space="preserve">은 </t>
    </r>
    <r>
      <rPr>
        <sz val="18"/>
        <color theme="1"/>
        <rFont val="Arial"/>
        <family val="2"/>
        <charset val="1"/>
      </rPr>
      <t>N/A</t>
    </r>
  </si>
  <si>
    <t>Check Lamp/X-Ray Display for photo ionizer</t>
  </si>
  <si>
    <t>Check photo ionizer head toward to sample and AFM Head</t>
  </si>
  <si>
    <r>
      <rPr>
        <sz val="18"/>
        <color theme="1"/>
        <rFont val="맑은 고딕"/>
        <family val="2"/>
        <charset val="129"/>
      </rPr>
      <t xml:space="preserve">장착되지 않는 장비는 </t>
    </r>
    <r>
      <rPr>
        <sz val="18"/>
        <color theme="1"/>
        <rFont val="Arial"/>
        <family val="2"/>
        <charset val="1"/>
      </rPr>
      <t>N/A</t>
    </r>
  </si>
  <si>
    <t>No power trip during power reset or usage</t>
  </si>
  <si>
    <t>EMO cover included</t>
  </si>
  <si>
    <r>
      <rPr>
        <b/>
        <sz val="18"/>
        <color theme="1"/>
        <rFont val="Arial"/>
        <family val="3"/>
        <charset val="1"/>
      </rPr>
      <t>EMO COVER</t>
    </r>
    <r>
      <rPr>
        <b/>
        <sz val="18"/>
        <color theme="1"/>
        <rFont val="맑은 고딕"/>
        <family val="3"/>
        <charset val="129"/>
      </rPr>
      <t xml:space="preserve">가 함께 출고되는 </t>
    </r>
    <r>
      <rPr>
        <b/>
        <sz val="18"/>
        <color theme="1"/>
        <rFont val="맑은 고딕"/>
        <family val="2"/>
        <charset val="129"/>
      </rPr>
      <t xml:space="preserve">중국향 장비는 </t>
    </r>
    <r>
      <rPr>
        <b/>
        <sz val="18"/>
        <color theme="1"/>
        <rFont val="Arial"/>
        <family val="2"/>
        <charset val="1"/>
      </rPr>
      <t xml:space="preserve">Yes, </t>
    </r>
    <r>
      <rPr>
        <b/>
        <sz val="18"/>
        <color theme="1"/>
        <rFont val="맑은 고딕"/>
        <family val="2"/>
        <charset val="129"/>
      </rPr>
      <t xml:space="preserve">아닌경우 </t>
    </r>
    <r>
      <rPr>
        <b/>
        <sz val="18"/>
        <color theme="1"/>
        <rFont val="Arial"/>
        <family val="3"/>
        <charset val="1"/>
      </rPr>
      <t>No</t>
    </r>
  </si>
  <si>
    <t>Signal Tower Color</t>
  </si>
  <si>
    <t>RGBW</t>
  </si>
  <si>
    <r>
      <rPr>
        <sz val="18"/>
        <color theme="1"/>
        <rFont val="맑은 고딕"/>
        <family val="2"/>
        <charset val="129"/>
      </rPr>
      <t>사용색상 선택</t>
    </r>
    <r>
      <rPr>
        <sz val="18"/>
        <color theme="1"/>
        <rFont val="Arial"/>
        <family val="2"/>
        <charset val="1"/>
      </rPr>
      <t xml:space="preserve">, </t>
    </r>
    <r>
      <rPr>
        <sz val="18"/>
        <color theme="1"/>
        <rFont val="맑은 고딕"/>
        <family val="2"/>
        <charset val="129"/>
      </rPr>
      <t>순서상관 없음</t>
    </r>
  </si>
  <si>
    <t>Photoionizer lamp(X-Ray Display) color</t>
  </si>
  <si>
    <t>Ionizer Peak Power</t>
  </si>
  <si>
    <t>KeV</t>
  </si>
  <si>
    <r>
      <rPr>
        <sz val="18"/>
        <color theme="1"/>
        <rFont val="맑은 고딕"/>
        <family val="2"/>
        <charset val="129"/>
      </rPr>
      <t xml:space="preserve">사용 </t>
    </r>
    <r>
      <rPr>
        <sz val="18"/>
        <color theme="1"/>
        <rFont val="Arial"/>
        <family val="2"/>
        <charset val="1"/>
      </rPr>
      <t xml:space="preserve">Power </t>
    </r>
    <r>
      <rPr>
        <sz val="18"/>
        <color theme="1"/>
        <rFont val="맑은 고딕"/>
        <family val="2"/>
        <charset val="129"/>
      </rPr>
      <t>선택</t>
    </r>
  </si>
  <si>
    <t>Facility Controller(w/EFEM)</t>
  </si>
  <si>
    <t>Upper Temperature Limit</t>
  </si>
  <si>
    <r>
      <rPr>
        <sz val="18"/>
        <color theme="1"/>
        <rFont val="Arial"/>
        <family val="2"/>
        <charset val="1"/>
      </rPr>
      <t>TSH600</t>
    </r>
    <r>
      <rPr>
        <sz val="18"/>
        <color theme="1"/>
        <rFont val="맑은 고딕"/>
        <family val="2"/>
        <charset val="129"/>
      </rPr>
      <t xml:space="preserve">은 </t>
    </r>
    <r>
      <rPr>
        <sz val="18"/>
        <color theme="1"/>
        <rFont val="Arial"/>
        <family val="2"/>
        <charset val="1"/>
      </rPr>
      <t>N/A</t>
    </r>
  </si>
  <si>
    <t>Lower Temperature Limit</t>
  </si>
  <si>
    <t>PLC Version</t>
  </si>
  <si>
    <t>Vacuum pressure on sample chuck</t>
  </si>
  <si>
    <t>kPa</t>
  </si>
  <si>
    <t>TSH600 Min-80, Max-40, TSH1518/2326 Min-12, Max-8</t>
  </si>
  <si>
    <t>FFU Check : XEA turn FFU ON / OFF function</t>
  </si>
  <si>
    <t>A/E FFU set on 100% and 20% then check RPM change</t>
  </si>
  <si>
    <t>EFEM FFU set on 100% and 20% then check RPM change</t>
  </si>
  <si>
    <t>AFM FFU speed (Normal)</t>
  </si>
  <si>
    <t>AFM FFU speed (Active)</t>
  </si>
  <si>
    <t xml:space="preserve">EFEM FFU speed (Normal) </t>
  </si>
  <si>
    <r>
      <rPr>
        <sz val="18"/>
        <color theme="1"/>
        <rFont val="Arial"/>
        <family val="2"/>
        <charset val="1"/>
      </rPr>
      <t>TSH600</t>
    </r>
    <r>
      <rPr>
        <sz val="18"/>
        <color theme="1"/>
        <rFont val="맑은 고딕"/>
        <family val="2"/>
        <charset val="129"/>
      </rPr>
      <t xml:space="preserve">은 </t>
    </r>
    <r>
      <rPr>
        <sz val="18"/>
        <color theme="1"/>
        <rFont val="Arial"/>
        <family val="2"/>
        <charset val="1"/>
      </rPr>
      <t xml:space="preserve">N/A, EFEM FFU Normal </t>
    </r>
    <r>
      <rPr>
        <sz val="18"/>
        <color theme="1"/>
        <rFont val="맑은 고딕"/>
        <family val="2"/>
        <charset val="129"/>
      </rPr>
      <t xml:space="preserve">상태는 </t>
    </r>
    <r>
      <rPr>
        <sz val="18"/>
        <color theme="1"/>
        <rFont val="Arial"/>
        <family val="2"/>
        <charset val="1"/>
      </rPr>
      <t xml:space="preserve">ffu </t>
    </r>
    <r>
      <rPr>
        <sz val="18"/>
        <color theme="1"/>
        <rFont val="맑은 고딕"/>
        <family val="2"/>
        <charset val="129"/>
      </rPr>
      <t>풍속테스트 전에 설정 필요 분석시트 및 가이드 참고</t>
    </r>
  </si>
  <si>
    <t xml:space="preserve">EFEM FFU speed (Active) </t>
  </si>
  <si>
    <t>Cabinet version</t>
  </si>
  <si>
    <t>T1</t>
  </si>
  <si>
    <t>Check the pneumatic controller(box) sensor settings (Nomal state : Green)</t>
  </si>
  <si>
    <t>Check the regulator vacuum pressure</t>
  </si>
  <si>
    <r>
      <rPr>
        <sz val="18"/>
        <color theme="1"/>
        <rFont val="Arial"/>
        <family val="2"/>
        <charset val="1"/>
      </rPr>
      <t>Cabinet</t>
    </r>
    <r>
      <rPr>
        <sz val="18"/>
        <color theme="1"/>
        <rFont val="맑은 고딕"/>
        <family val="2"/>
        <charset val="129"/>
      </rPr>
      <t xml:space="preserve">에 있는 </t>
    </r>
    <r>
      <rPr>
        <sz val="18"/>
        <color theme="1"/>
        <rFont val="Arial"/>
        <family val="2"/>
        <charset val="1"/>
      </rPr>
      <t xml:space="preserve">Regulator vacuum </t>
    </r>
    <r>
      <rPr>
        <sz val="18"/>
        <color theme="1"/>
        <rFont val="맑은 고딕"/>
        <family val="2"/>
        <charset val="129"/>
      </rPr>
      <t>압력 확인</t>
    </r>
    <r>
      <rPr>
        <sz val="18"/>
        <color theme="1"/>
        <rFont val="Arial"/>
        <family val="2"/>
        <charset val="1"/>
      </rPr>
      <t xml:space="preserve">, </t>
    </r>
    <r>
      <rPr>
        <sz val="18"/>
        <color theme="1"/>
        <rFont val="맑은 고딕"/>
        <family val="2"/>
        <charset val="129"/>
      </rPr>
      <t xml:space="preserve">사용하지 않는 경우 </t>
    </r>
    <r>
      <rPr>
        <sz val="18"/>
        <color theme="1"/>
        <rFont val="Arial"/>
        <family val="2"/>
        <charset val="1"/>
      </rPr>
      <t>min,max</t>
    </r>
    <r>
      <rPr>
        <sz val="18"/>
        <color theme="1"/>
        <rFont val="맑은 고딕"/>
        <family val="2"/>
        <charset val="129"/>
      </rPr>
      <t xml:space="preserve">값 삭제후 </t>
    </r>
    <r>
      <rPr>
        <sz val="18"/>
        <color theme="1"/>
        <rFont val="Arial"/>
        <family val="2"/>
        <charset val="1"/>
      </rPr>
      <t xml:space="preserve">criteria N/A </t>
    </r>
  </si>
  <si>
    <t xml:space="preserve">Buzzer DB setting : SignalTower - bReportDoorOpen​ </t>
  </si>
  <si>
    <r>
      <rPr>
        <sz val="18"/>
        <color theme="1"/>
        <rFont val="Arial"/>
        <family val="2"/>
        <charset val="1"/>
      </rPr>
      <t xml:space="preserve">DB </t>
    </r>
    <r>
      <rPr>
        <sz val="18"/>
        <color theme="1"/>
        <rFont val="맑은 고딕"/>
        <family val="2"/>
        <charset val="129"/>
      </rPr>
      <t xml:space="preserve">설정 </t>
    </r>
    <r>
      <rPr>
        <sz val="18"/>
        <color theme="1"/>
        <rFont val="Arial"/>
        <family val="2"/>
        <charset val="1"/>
      </rPr>
      <t>: FacilityController/​SignTower/</t>
    </r>
  </si>
  <si>
    <t>Buzzer DB setting : SignalTower - bReportEmergency</t>
  </si>
  <si>
    <t>Buzzer DB setting : SignalTower - bUseBuzzer</t>
  </si>
  <si>
    <t>Buzzer DB setting : Emergency - bUse</t>
  </si>
  <si>
    <r>
      <rPr>
        <sz val="18"/>
        <color theme="1"/>
        <rFont val="Arial"/>
        <family val="2"/>
        <charset val="1"/>
      </rPr>
      <t xml:space="preserve">DB </t>
    </r>
    <r>
      <rPr>
        <sz val="18"/>
        <color theme="1"/>
        <rFont val="맑은 고딕"/>
        <family val="2"/>
        <charset val="129"/>
      </rPr>
      <t xml:space="preserve">설정 </t>
    </r>
    <r>
      <rPr>
        <sz val="18"/>
        <color theme="1"/>
        <rFont val="Arial"/>
        <family val="2"/>
        <charset val="1"/>
      </rPr>
      <t>: FacilityController/​Emergency/</t>
    </r>
  </si>
  <si>
    <t>Buzzer DB setting : Emergency - bUseResetAlarm​</t>
  </si>
  <si>
    <t>Buzzer DB setting : Emergency - bUseSystemReset</t>
  </si>
  <si>
    <t>Buzzer DB setting : Emergency - bUseWarningMessage​</t>
  </si>
  <si>
    <t>Check the buzzer</t>
  </si>
  <si>
    <r>
      <rPr>
        <sz val="18"/>
        <color theme="1"/>
        <rFont val="Arial"/>
        <family val="2"/>
        <charset val="1"/>
      </rPr>
      <t xml:space="preserve">EMO </t>
    </r>
    <r>
      <rPr>
        <sz val="18"/>
        <color theme="1"/>
        <rFont val="맑은 고딕"/>
        <family val="2"/>
        <charset val="129"/>
      </rPr>
      <t xml:space="preserve">동작시 </t>
    </r>
    <r>
      <rPr>
        <sz val="18"/>
        <color theme="1"/>
        <rFont val="Arial"/>
        <family val="2"/>
        <charset val="1"/>
      </rPr>
      <t xml:space="preserve">Alarm </t>
    </r>
    <r>
      <rPr>
        <sz val="18"/>
        <color theme="1"/>
        <rFont val="맑은 고딕"/>
        <family val="2"/>
        <charset val="129"/>
      </rPr>
      <t>창과 부저가 울리지는지 확인</t>
    </r>
  </si>
  <si>
    <t>Facility Controller(T1,T2)</t>
  </si>
  <si>
    <t>Check if the power lamps(Power Cable/UPS Power) turn on when the main power is on</t>
  </si>
  <si>
    <r>
      <rPr>
        <sz val="18"/>
        <color theme="1"/>
        <rFont val="Arial"/>
        <family val="2"/>
        <charset val="1"/>
      </rPr>
      <t xml:space="preserve">power on </t>
    </r>
    <r>
      <rPr>
        <sz val="18"/>
        <color theme="1"/>
        <rFont val="맑은 고딕"/>
        <family val="2"/>
        <charset val="129"/>
      </rPr>
      <t xml:space="preserve">했을때 </t>
    </r>
    <r>
      <rPr>
        <sz val="18"/>
        <color theme="1"/>
        <rFont val="Arial"/>
        <family val="2"/>
        <charset val="1"/>
      </rPr>
      <t>power lamp(Power Cable/UPS Power)</t>
    </r>
    <r>
      <rPr>
        <sz val="18"/>
        <color theme="1"/>
        <rFont val="맑은 고딕"/>
        <family val="2"/>
        <charset val="129"/>
      </rPr>
      <t>가 점등 되는지 확인</t>
    </r>
  </si>
  <si>
    <t>Check the EFEM EMO switches function test</t>
  </si>
  <si>
    <r>
      <rPr>
        <sz val="18"/>
        <color theme="1"/>
        <rFont val="Arial"/>
        <family val="2"/>
        <charset val="1"/>
      </rPr>
      <t xml:space="preserve">EMO Alarm </t>
    </r>
    <r>
      <rPr>
        <sz val="18"/>
        <color theme="1"/>
        <rFont val="맑은 고딕"/>
        <family val="2"/>
        <charset val="129"/>
      </rPr>
      <t>이미지 저장</t>
    </r>
    <r>
      <rPr>
        <sz val="18"/>
        <color theme="1"/>
        <rFont val="Arial"/>
        <family val="2"/>
        <charset val="1"/>
      </rPr>
      <t xml:space="preserve">, EFEM EMO Switch </t>
    </r>
    <r>
      <rPr>
        <sz val="18"/>
        <color theme="1"/>
        <rFont val="맑은 고딕"/>
        <family val="2"/>
        <charset val="129"/>
      </rPr>
      <t xml:space="preserve">위치 </t>
    </r>
    <r>
      <rPr>
        <sz val="18"/>
        <color theme="1"/>
        <rFont val="Arial"/>
        <family val="2"/>
        <charset val="1"/>
      </rPr>
      <t>3</t>
    </r>
    <r>
      <rPr>
        <sz val="18"/>
        <color theme="1"/>
        <rFont val="맑은 고딕"/>
        <family val="2"/>
        <charset val="129"/>
      </rPr>
      <t xml:space="preserve">군데 </t>
    </r>
    <r>
      <rPr>
        <sz val="18"/>
        <color theme="1"/>
        <rFont val="Arial"/>
        <family val="2"/>
        <charset val="1"/>
      </rPr>
      <t xml:space="preserve">(Teaching pendant, EFEM Front, EFEM Monitor </t>
    </r>
    <r>
      <rPr>
        <sz val="18"/>
        <color theme="1"/>
        <rFont val="맑은 고딕"/>
        <family val="2"/>
        <charset val="129"/>
      </rPr>
      <t>쪽</t>
    </r>
    <r>
      <rPr>
        <sz val="18"/>
        <color theme="1"/>
        <rFont val="Arial"/>
        <family val="2"/>
        <charset val="1"/>
      </rPr>
      <t>)</t>
    </r>
  </si>
  <si>
    <t>Facility Controller(T1,T2,T3)</t>
  </si>
  <si>
    <t>Check the Cabinet EMO switches function test</t>
  </si>
  <si>
    <r>
      <rPr>
        <sz val="18"/>
        <color theme="1"/>
        <rFont val="Arial"/>
        <family val="2"/>
        <charset val="1"/>
      </rPr>
      <t xml:space="preserve">EMO Alarm </t>
    </r>
    <r>
      <rPr>
        <sz val="18"/>
        <color theme="1"/>
        <rFont val="맑은 고딕"/>
        <family val="2"/>
        <charset val="129"/>
      </rPr>
      <t>이미지 저장</t>
    </r>
    <r>
      <rPr>
        <sz val="18"/>
        <color theme="1"/>
        <rFont val="Arial"/>
        <family val="2"/>
        <charset val="1"/>
      </rPr>
      <t xml:space="preserve">, Cabinet EMO Switch </t>
    </r>
    <r>
      <rPr>
        <sz val="18"/>
        <color theme="1"/>
        <rFont val="맑은 고딕"/>
        <family val="2"/>
        <charset val="129"/>
      </rPr>
      <t xml:space="preserve">위치 </t>
    </r>
    <r>
      <rPr>
        <sz val="18"/>
        <color theme="1"/>
        <rFont val="Arial"/>
        <family val="2"/>
        <charset val="1"/>
      </rPr>
      <t>2</t>
    </r>
    <r>
      <rPr>
        <sz val="18"/>
        <color theme="1"/>
        <rFont val="맑은 고딕"/>
        <family val="2"/>
        <charset val="129"/>
      </rPr>
      <t xml:space="preserve">군데 </t>
    </r>
    <r>
      <rPr>
        <sz val="18"/>
        <color theme="1"/>
        <rFont val="Arial"/>
        <family val="2"/>
        <charset val="1"/>
      </rPr>
      <t xml:space="preserve">(Cabinet </t>
    </r>
    <r>
      <rPr>
        <sz val="18"/>
        <color theme="1"/>
        <rFont val="맑은 고딕"/>
        <family val="2"/>
        <charset val="129"/>
      </rPr>
      <t>오른쪽</t>
    </r>
    <r>
      <rPr>
        <sz val="18"/>
        <color theme="1"/>
        <rFont val="Arial"/>
        <family val="2"/>
        <charset val="1"/>
      </rPr>
      <t xml:space="preserve">, Cabinet </t>
    </r>
    <r>
      <rPr>
        <sz val="18"/>
        <color theme="1"/>
        <rFont val="맑은 고딕"/>
        <family val="2"/>
        <charset val="129"/>
      </rPr>
      <t>안쪽</t>
    </r>
    <r>
      <rPr>
        <sz val="18"/>
        <color theme="1"/>
        <rFont val="Arial"/>
        <family val="2"/>
        <charset val="1"/>
      </rPr>
      <t>)</t>
    </r>
  </si>
  <si>
    <r>
      <rPr>
        <sz val="18"/>
        <color theme="1"/>
        <rFont val="Arial"/>
        <family val="2"/>
        <charset val="1"/>
      </rPr>
      <t>T1,T2 : 3, T3:1(</t>
    </r>
    <r>
      <rPr>
        <sz val="18"/>
        <color theme="1"/>
        <rFont val="맑은 고딕"/>
        <family val="2"/>
        <charset val="129"/>
      </rPr>
      <t>단</t>
    </r>
    <r>
      <rPr>
        <sz val="18"/>
        <color theme="1"/>
        <rFont val="Arial"/>
        <family val="2"/>
        <charset val="1"/>
      </rPr>
      <t>, PTR</t>
    </r>
    <r>
      <rPr>
        <sz val="18"/>
        <color theme="1"/>
        <rFont val="맑은 고딕"/>
        <family val="2"/>
        <charset val="129"/>
      </rPr>
      <t xml:space="preserve">은 </t>
    </r>
    <r>
      <rPr>
        <sz val="18"/>
        <color theme="1"/>
        <rFont val="Arial"/>
        <family val="2"/>
        <charset val="1"/>
      </rPr>
      <t>2)</t>
    </r>
  </si>
  <si>
    <t>Power lamp color</t>
  </si>
  <si>
    <t xml:space="preserve">Swtich box lamp color(Power On = Green, Power Off = White) </t>
  </si>
  <si>
    <t>Green, White</t>
  </si>
  <si>
    <t>UPS Power lamp color</t>
  </si>
  <si>
    <t>Tip Characterizer Sample</t>
  </si>
  <si>
    <t>Tip Characterizer stage position teach / XEA</t>
  </si>
  <si>
    <r>
      <rPr>
        <sz val="18"/>
        <color theme="1"/>
        <rFont val="Arial"/>
        <family val="2"/>
        <charset val="1"/>
      </rPr>
      <t xml:space="preserve">Guide </t>
    </r>
    <r>
      <rPr>
        <sz val="18"/>
        <color theme="1"/>
        <rFont val="맑은 고딕"/>
        <family val="2"/>
        <charset val="129"/>
      </rPr>
      <t>참고</t>
    </r>
  </si>
  <si>
    <t xml:space="preserve">Tip Characterizer DB setting : TipCharacterizerSupport </t>
  </si>
  <si>
    <t>Tip Characterizer auto focus teach / XEA</t>
  </si>
  <si>
    <t>Tip Characterizer sample width</t>
  </si>
  <si>
    <r>
      <rPr>
        <b/>
        <sz val="36"/>
        <color theme="1"/>
        <rFont val="Times New Roman"/>
        <family val="1"/>
        <charset val="1"/>
      </rPr>
      <t>Product Quality Conformity Certificate</t>
    </r>
    <r>
      <rPr>
        <b/>
        <sz val="36"/>
        <color theme="1"/>
        <rFont val="맑은 고딕"/>
        <family val="2"/>
        <charset val="129"/>
      </rPr>
      <t xml:space="preserve"> </t>
    </r>
  </si>
  <si>
    <t xml:space="preserve">This is to certify the product listed below and associated components have been manufactured, 
assembled, and tested by Park Systems, in accordance with established manufacturing
procedures and ISO9001 and ISO14001 guidelines. </t>
  </si>
  <si>
    <t>Product Model</t>
  </si>
  <si>
    <t>NX-Wafer 200mm</t>
  </si>
  <si>
    <t>SID(System ID) Number</t>
  </si>
  <si>
    <t>C160112-020725</t>
  </si>
  <si>
    <t>Reference Document</t>
  </si>
  <si>
    <t>Industrial Checklist_2026-Q1-Rev.0</t>
  </si>
  <si>
    <t>Date of Final Test</t>
  </si>
  <si>
    <t>End User</t>
  </si>
  <si>
    <t>Huahong Grace Fab3 #2</t>
  </si>
  <si>
    <t>Manufacturing Engineer</t>
  </si>
  <si>
    <t>JunBeom Park</t>
  </si>
  <si>
    <t>Production QC Engineer</t>
  </si>
  <si>
    <t>Levi. Baek</t>
  </si>
  <si>
    <t>Team Manager of Production QC</t>
  </si>
  <si>
    <t>Jayden Lee</t>
  </si>
  <si>
    <t>Teached</t>
  </si>
  <si>
    <r>
      <rPr>
        <sz val="10"/>
        <rFont val="Arial"/>
        <family val="2"/>
        <charset val="1"/>
      </rPr>
      <t xml:space="preserve">5.2.4 </t>
    </r>
    <r>
      <rPr>
        <sz val="10"/>
        <rFont val="맑은 고딕"/>
        <family val="3"/>
        <charset val="129"/>
      </rPr>
      <t>빌드버전</t>
    </r>
    <r>
      <rPr>
        <sz val="10"/>
        <rFont val="Arial"/>
        <family val="2"/>
        <charset val="1"/>
      </rPr>
      <t xml:space="preserve">, YMTC </t>
    </r>
    <r>
      <rPr>
        <sz val="10"/>
        <rFont val="맑은 고딕"/>
        <family val="2"/>
        <charset val="129"/>
      </rPr>
      <t>제외</t>
    </r>
  </si>
  <si>
    <t>Resonance Frequency in DB</t>
  </si>
  <si>
    <t>Save XY Stage setup file</t>
  </si>
  <si>
    <t>Check the circle align</t>
  </si>
  <si>
    <t>Maker of the motion control board(Maker in XY Stage DB)</t>
  </si>
  <si>
    <t>Check X axis encoder reader LED(Green: Good, Red: No Good)</t>
  </si>
  <si>
    <t>Check Y axis encoder reader LED(Green: Good, Red: No Good)</t>
  </si>
  <si>
    <t>Image offset after moving from -X to +X</t>
  </si>
  <si>
    <t>Plus direction move Drift, X move X Scan(XX) 700sec (-X to +X move, image offset</t>
  </si>
  <si>
    <t>Image offset after moving from -Y to +Y</t>
  </si>
  <si>
    <t>Image offset after moving from -X to +Y</t>
  </si>
  <si>
    <t>Image offset after moving from -Y to +X</t>
  </si>
  <si>
    <t>Image offset after moving from +X to -X</t>
  </si>
  <si>
    <t>Image offset after moving from +Y to -Y</t>
  </si>
  <si>
    <t>Image offset after moving from +X to -Y</t>
  </si>
  <si>
    <t>Image offset after moving from +Y to -X</t>
  </si>
  <si>
    <r>
      <rPr>
        <sz val="10"/>
        <rFont val="Arial"/>
        <family val="2"/>
        <charset val="1"/>
      </rPr>
      <t>X axis, Repeatability @</t>
    </r>
    <r>
      <rPr>
        <sz val="10"/>
        <rFont val="맑은 고딕"/>
        <family val="3"/>
        <charset val="129"/>
      </rPr>
      <t>1st position</t>
    </r>
  </si>
  <si>
    <r>
      <rPr>
        <sz val="10"/>
        <rFont val="Arial"/>
        <family val="2"/>
        <charset val="1"/>
      </rPr>
      <t xml:space="preserve">X axis, Repeatability @ </t>
    </r>
    <r>
      <rPr>
        <sz val="10"/>
        <rFont val="맑은 고딕"/>
        <family val="3"/>
        <charset val="129"/>
      </rPr>
      <t>2nd position</t>
    </r>
  </si>
  <si>
    <r>
      <rPr>
        <sz val="10"/>
        <rFont val="Arial"/>
        <family val="2"/>
        <charset val="1"/>
      </rPr>
      <t xml:space="preserve">X axis, Repeatability @ 3rd </t>
    </r>
    <r>
      <rPr>
        <sz val="10"/>
        <rFont val="맑은 고딕"/>
        <family val="3"/>
        <charset val="129"/>
      </rPr>
      <t>position</t>
    </r>
  </si>
  <si>
    <r>
      <rPr>
        <sz val="10"/>
        <rFont val="Arial"/>
        <family val="2"/>
        <charset val="1"/>
      </rPr>
      <t>X axis, Repeatability @ 4th</t>
    </r>
    <r>
      <rPr>
        <sz val="10"/>
        <rFont val="맑은 고딕"/>
        <family val="3"/>
        <charset val="129"/>
      </rPr>
      <t xml:space="preserve"> position</t>
    </r>
  </si>
  <si>
    <r>
      <rPr>
        <sz val="10"/>
        <rFont val="Arial"/>
        <family val="2"/>
        <charset val="1"/>
      </rPr>
      <t>X axis, Accuracy @</t>
    </r>
    <r>
      <rPr>
        <sz val="10"/>
        <rFont val="맑은 고딕"/>
        <family val="3"/>
        <charset val="129"/>
      </rPr>
      <t>1st position</t>
    </r>
  </si>
  <si>
    <r>
      <rPr>
        <sz val="10"/>
        <rFont val="Arial"/>
        <family val="2"/>
        <charset val="1"/>
      </rPr>
      <t>Y axis, Accuracy @</t>
    </r>
    <r>
      <rPr>
        <sz val="10"/>
        <rFont val="맑은 고딕"/>
        <family val="3"/>
        <charset val="129"/>
      </rPr>
      <t>1st position</t>
    </r>
  </si>
  <si>
    <r>
      <rPr>
        <sz val="10"/>
        <rFont val="Arial"/>
        <family val="2"/>
        <charset val="1"/>
      </rPr>
      <t xml:space="preserve">X axis, Accuracy @ </t>
    </r>
    <r>
      <rPr>
        <sz val="10"/>
        <rFont val="맑은 고딕"/>
        <family val="3"/>
        <charset val="129"/>
      </rPr>
      <t>2nd position</t>
    </r>
  </si>
  <si>
    <r>
      <rPr>
        <sz val="10"/>
        <rFont val="Arial"/>
        <family val="2"/>
        <charset val="1"/>
      </rPr>
      <t xml:space="preserve">Y axis, Accuracy @ </t>
    </r>
    <r>
      <rPr>
        <sz val="10"/>
        <rFont val="맑은 고딕"/>
        <family val="3"/>
        <charset val="129"/>
      </rPr>
      <t>2nd position</t>
    </r>
  </si>
  <si>
    <r>
      <rPr>
        <sz val="10"/>
        <rFont val="Arial"/>
        <family val="2"/>
        <charset val="1"/>
      </rPr>
      <t xml:space="preserve">X axis, Accuracy @ 3rd </t>
    </r>
    <r>
      <rPr>
        <sz val="10"/>
        <rFont val="맑은 고딕"/>
        <family val="3"/>
        <charset val="129"/>
      </rPr>
      <t>position</t>
    </r>
  </si>
  <si>
    <r>
      <rPr>
        <sz val="10"/>
        <rFont val="Arial"/>
        <family val="2"/>
        <charset val="1"/>
      </rPr>
      <t xml:space="preserve">Y axis, Accuracy @ 3rd </t>
    </r>
    <r>
      <rPr>
        <sz val="10"/>
        <rFont val="맑은 고딕"/>
        <family val="3"/>
        <charset val="129"/>
      </rPr>
      <t>position</t>
    </r>
  </si>
  <si>
    <r>
      <rPr>
        <sz val="10"/>
        <rFont val="Arial"/>
        <family val="2"/>
        <charset val="1"/>
      </rPr>
      <t>X axis, Accuracy @ 4th</t>
    </r>
    <r>
      <rPr>
        <sz val="10"/>
        <rFont val="맑은 고딕"/>
        <family val="3"/>
        <charset val="129"/>
      </rPr>
      <t xml:space="preserve"> position</t>
    </r>
  </si>
  <si>
    <r>
      <rPr>
        <sz val="10"/>
        <rFont val="Arial"/>
        <family val="2"/>
        <charset val="1"/>
      </rPr>
      <t>Y axis, Accuracy @ 4th</t>
    </r>
    <r>
      <rPr>
        <sz val="10"/>
        <rFont val="맑은 고딕"/>
        <family val="3"/>
        <charset val="129"/>
      </rPr>
      <t xml:space="preserve"> position</t>
    </r>
  </si>
  <si>
    <r>
      <rPr>
        <sz val="10"/>
        <rFont val="Arial"/>
        <family val="2"/>
        <charset val="1"/>
      </rPr>
      <t>Y axis, Repeatability @</t>
    </r>
    <r>
      <rPr>
        <sz val="10"/>
        <rFont val="맑은 고딕"/>
        <family val="3"/>
        <charset val="129"/>
      </rPr>
      <t>1st position</t>
    </r>
  </si>
  <si>
    <r>
      <rPr>
        <sz val="10"/>
        <rFont val="Arial"/>
        <family val="2"/>
        <charset val="1"/>
      </rPr>
      <t xml:space="preserve">Y axis, Repeatability @ </t>
    </r>
    <r>
      <rPr>
        <sz val="10"/>
        <rFont val="맑은 고딕"/>
        <family val="3"/>
        <charset val="129"/>
      </rPr>
      <t>2nd position</t>
    </r>
  </si>
  <si>
    <r>
      <rPr>
        <sz val="10"/>
        <rFont val="Arial"/>
        <family val="2"/>
        <charset val="1"/>
      </rPr>
      <t xml:space="preserve">Y axis, Repeatability @ 3rd </t>
    </r>
    <r>
      <rPr>
        <sz val="10"/>
        <rFont val="맑은 고딕"/>
        <family val="3"/>
        <charset val="129"/>
      </rPr>
      <t>position</t>
    </r>
  </si>
  <si>
    <r>
      <rPr>
        <sz val="10"/>
        <rFont val="Arial"/>
        <family val="2"/>
        <charset val="1"/>
      </rPr>
      <t>Y axis, Repeatability @ 4th</t>
    </r>
    <r>
      <rPr>
        <sz val="10"/>
        <rFont val="맑은 고딕"/>
        <family val="3"/>
        <charset val="129"/>
      </rPr>
      <t xml:space="preserve"> position</t>
    </r>
  </si>
  <si>
    <t>Z Drift (Short Traveling)</t>
  </si>
  <si>
    <t>Check the Z Scanner Range</t>
  </si>
  <si>
    <t>Check the Resolution of 1line (Max Data Length in Profile mode)</t>
  </si>
  <si>
    <t>Check the Profiling Speed (Max Speed in Profile mode)</t>
  </si>
  <si>
    <t>Check the Profiling Length (Max Profiling Length in Profile mode)</t>
  </si>
  <si>
    <t>Check the Max Scan Speed (Max Scan speed in AFM mode)</t>
  </si>
  <si>
    <t>DB_Key</t>
    <phoneticPr fontId="41" type="noConversion"/>
  </si>
  <si>
    <t>☑</t>
    <phoneticPr fontId="41" type="noConversion"/>
  </si>
  <si>
    <t>Dsp.ZDetector.LongHead.MicrometerPerAdcHigh</t>
    <phoneticPr fontId="4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</si>
</sst>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
    <numFmt numFmtId="177" formatCode="0.0"/>
    <numFmt numFmtId="178" formatCode="0.00_);[Red]\(0.00\)"/>
    <numFmt numFmtId="179" formatCode="0.0000"/>
    <numFmt numFmtId="180" formatCode="0.00000_);[Red]\(0.00000\)"/>
    <numFmt numFmtId="181" formatCode="0.00000"/>
    <numFmt numFmtId="182" formatCode="0_);[Red]\(0\)"/>
    <numFmt numFmtId="183" formatCode="#,##0.0"/>
    <numFmt numFmtId="184" formatCode="[$-409]mmmm\ d&quot;, &quot;yyyy;@"/>
  </numFmts>
  <fonts count="42">
    <font>
      <sz val="11"/>
      <color theme="1"/>
      <name val="맑은 고딕"/>
      <family val="2"/>
      <charset val="129"/>
    </font>
    <font>
      <sz val="11"/>
      <name val="굴림"/>
      <family val="3"/>
      <charset val="129"/>
    </font>
    <font>
      <sz val="11"/>
      <color theme="1"/>
      <name val="Arial"/>
      <family val="2"/>
      <charset val="1"/>
    </font>
    <font>
      <b/>
      <sz val="18"/>
      <name val="맑은 고딕"/>
      <family val="3"/>
      <charset val="129"/>
    </font>
    <font>
      <sz val="18"/>
      <color theme="1"/>
      <name val="맑은 고딕"/>
      <family val="2"/>
      <charset val="129"/>
    </font>
    <font>
      <sz val="18"/>
      <color theme="1"/>
      <name val="맑은 고딕"/>
      <family val="3"/>
      <charset val="129"/>
    </font>
    <font>
      <sz val="18"/>
      <color rgb="FF000000"/>
      <name val="맑은 고딕"/>
      <family val="3"/>
      <charset val="129"/>
    </font>
    <font>
      <sz val="10"/>
      <name val="Arial"/>
      <family val="2"/>
      <charset val="1"/>
    </font>
    <font>
      <sz val="11"/>
      <name val="맑은 고딕"/>
      <family val="2"/>
      <charset val="129"/>
    </font>
    <font>
      <sz val="11"/>
      <color rgb="FFFF0000"/>
      <name val="맑은 고딕"/>
      <family val="2"/>
      <charset val="129"/>
    </font>
    <font>
      <sz val="10"/>
      <color theme="1"/>
      <name val="Arial"/>
      <family val="2"/>
      <charset val="1"/>
    </font>
    <font>
      <sz val="18"/>
      <color theme="1"/>
      <name val="Arial"/>
      <family val="2"/>
      <charset val="1"/>
    </font>
    <font>
      <sz val="18"/>
      <name val="Arial"/>
      <family val="2"/>
      <charset val="1"/>
    </font>
    <font>
      <b/>
      <sz val="18"/>
      <color theme="1"/>
      <name val="Arial"/>
      <family val="2"/>
      <charset val="1"/>
    </font>
    <font>
      <b/>
      <sz val="18"/>
      <color theme="1"/>
      <name val="맑은 고딕"/>
      <family val="2"/>
      <charset val="129"/>
    </font>
    <font>
      <b/>
      <sz val="18"/>
      <color theme="4"/>
      <name val="Arial"/>
      <family val="2"/>
      <charset val="1"/>
    </font>
    <font>
      <b/>
      <sz val="18"/>
      <color rgb="FF0070C0"/>
      <name val="Arial"/>
      <family val="2"/>
      <charset val="1"/>
    </font>
    <font>
      <sz val="18"/>
      <color theme="1"/>
      <name val="Segoe UI Symbol"/>
      <family val="2"/>
      <charset val="1"/>
    </font>
    <font>
      <sz val="18"/>
      <color rgb="FF000000"/>
      <name val="Arial"/>
      <family val="2"/>
      <charset val="1"/>
    </font>
    <font>
      <sz val="18"/>
      <name val="맑은 고딕"/>
      <family val="2"/>
      <charset val="129"/>
    </font>
    <font>
      <b/>
      <sz val="18"/>
      <name val="Arial"/>
      <family val="2"/>
      <charset val="1"/>
    </font>
    <font>
      <sz val="18"/>
      <color theme="1"/>
      <name val="Arial Unicode MS"/>
      <family val="3"/>
      <charset val="129"/>
    </font>
    <font>
      <sz val="18"/>
      <color theme="1"/>
      <name val="Arial"/>
      <family val="3"/>
      <charset val="1"/>
    </font>
    <font>
      <sz val="18"/>
      <name val="맑은 고딕"/>
      <family val="3"/>
      <charset val="129"/>
    </font>
    <font>
      <sz val="18"/>
      <color rgb="FFFFC000"/>
      <name val="Arial"/>
      <family val="2"/>
      <charset val="1"/>
    </font>
    <font>
      <b/>
      <sz val="18"/>
      <color theme="1"/>
      <name val="Arial"/>
      <family val="3"/>
      <charset val="1"/>
    </font>
    <font>
      <b/>
      <sz val="18"/>
      <color theme="1"/>
      <name val="맑은 고딕"/>
      <family val="3"/>
      <charset val="129"/>
    </font>
    <font>
      <sz val="10"/>
      <name val="Arial"/>
      <family val="2"/>
    </font>
    <font>
      <sz val="9"/>
      <color rgb="FF000000"/>
      <name val="Tahoma"/>
      <family val="2"/>
      <charset val="1"/>
    </font>
    <font>
      <sz val="9"/>
      <color rgb="FF000000"/>
      <name val="돋움"/>
      <family val="3"/>
      <charset val="129"/>
    </font>
    <font>
      <sz val="11"/>
      <name val="Arial"/>
      <family val="2"/>
      <charset val="1"/>
    </font>
    <font>
      <b/>
      <sz val="36"/>
      <color theme="1"/>
      <name val="Times New Roman"/>
      <family val="1"/>
      <charset val="1"/>
    </font>
    <font>
      <b/>
      <sz val="36"/>
      <color theme="1"/>
      <name val="맑은 고딕"/>
      <family val="2"/>
      <charset val="129"/>
    </font>
    <font>
      <b/>
      <sz val="36"/>
      <color theme="1"/>
      <name val="맑은 고딕"/>
      <family val="1"/>
      <charset val="129"/>
    </font>
    <font>
      <sz val="24"/>
      <color theme="1"/>
      <name val="Times New Roman"/>
      <family val="1"/>
      <charset val="1"/>
    </font>
    <font>
      <sz val="22"/>
      <color theme="1"/>
      <name val="Times New Roman"/>
      <family val="1"/>
      <charset val="1"/>
    </font>
    <font>
      <sz val="22"/>
      <color theme="1"/>
      <name val="맑은 고딕"/>
      <family val="2"/>
      <charset val="129"/>
    </font>
    <font>
      <sz val="20"/>
      <color theme="1"/>
      <name val="Times New Roman"/>
      <family val="1"/>
      <charset val="1"/>
    </font>
    <font>
      <sz val="10"/>
      <name val="맑은 고딕"/>
      <family val="3"/>
      <charset val="129"/>
    </font>
    <font>
      <sz val="10"/>
      <name val="맑은 고딕"/>
      <family val="2"/>
      <charset val="129"/>
    </font>
    <font>
      <sz val="11"/>
      <color theme="1"/>
      <name val="맑은 고딕"/>
      <family val="2"/>
      <charset val="129"/>
    </font>
    <font>
      <sz val="8"/>
      <name val="맑은 고딕"/>
      <family val="2"/>
      <charset val="129"/>
    </font>
  </fonts>
  <fills count="6">
    <fill>
      <patternFill patternType="none"/>
    </fill>
    <fill>
      <patternFill patternType="gray125"/>
    </fill>
    <fill>
      <patternFill patternType="solid">
        <fgColor theme="8" tint="0.79979857783745845"/>
        <bgColor rgb="FFCCFFFF"/>
      </patternFill>
    </fill>
    <fill>
      <patternFill patternType="solid">
        <fgColor rgb="FFFFFF00"/>
        <bgColor rgb="FFFFFF00"/>
      </patternFill>
    </fill>
    <fill>
      <patternFill patternType="solid">
        <fgColor theme="7" tint="0.79979857783745845"/>
        <bgColor rgb="FFFFFFFF"/>
      </patternFill>
    </fill>
    <fill>
      <patternFill patternType="solid">
        <fgColor theme="0"/>
        <bgColor rgb="FFFFF2CC"/>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auto="1"/>
      </top>
      <bottom style="thin">
        <color auto="1"/>
      </bottom>
      <diagonal/>
    </border>
  </borders>
  <cellStyleXfs count="4">
    <xf numFmtId="0" fontId="0" fillId="0" borderId="0">
      <alignment vertical="center"/>
    </xf>
    <xf numFmtId="9" fontId="40" fillId="0" borderId="0" applyBorder="0" applyProtection="0">
      <alignment vertical="center"/>
    </xf>
    <xf numFmtId="0" fontId="1" fillId="0" borderId="0">
      <alignment vertical="center"/>
    </xf>
    <xf numFmtId="0" fontId="40" fillId="0" borderId="0">
      <alignment vertical="center"/>
    </xf>
  </cellStyleXfs>
  <cellXfs count="137">
    <xf numFmtId="0" fontId="0" fillId="0" borderId="0" xfId="0">
      <alignment vertical="center"/>
    </xf>
    <xf numFmtId="0" fontId="34" fillId="0" borderId="0" xfId="0" applyFont="1" applyAlignment="1">
      <alignment vertical="distributed" wrapText="1"/>
    </xf>
    <xf numFmtId="0" fontId="4" fillId="0" borderId="0" xfId="0" applyFont="1" applyAlignment="1">
      <alignment horizontal="center" vertical="center"/>
    </xf>
    <xf numFmtId="0" fontId="2" fillId="0" borderId="0" xfId="0" applyFont="1">
      <alignment vertical="center"/>
    </xf>
    <xf numFmtId="176" fontId="2" fillId="0" borderId="0" xfId="0" applyNumberFormat="1" applyFont="1">
      <alignment vertical="center"/>
    </xf>
    <xf numFmtId="2" fontId="2" fillId="0" borderId="0" xfId="0" applyNumberFormat="1" applyFont="1">
      <alignment vertical="center"/>
    </xf>
    <xf numFmtId="177" fontId="2" fillId="0" borderId="0" xfId="0" applyNumberFormat="1" applyFont="1">
      <alignment vertical="center"/>
    </xf>
    <xf numFmtId="1" fontId="0" fillId="0" borderId="0" xfId="0" applyNumberFormat="1">
      <alignment vertical="center"/>
    </xf>
    <xf numFmtId="0" fontId="7" fillId="0" borderId="0" xfId="0" applyFont="1">
      <alignment vertical="center"/>
    </xf>
    <xf numFmtId="0" fontId="0" fillId="2" borderId="0" xfId="0" applyFill="1">
      <alignment vertical="center"/>
    </xf>
    <xf numFmtId="0" fontId="2" fillId="0" borderId="0" xfId="0" applyFont="1" applyAlignment="1">
      <alignment horizontal="center" vertical="center" shrinkToFit="1"/>
    </xf>
    <xf numFmtId="177" fontId="0" fillId="0" borderId="0" xfId="0" applyNumberFormat="1">
      <alignment vertical="center"/>
    </xf>
    <xf numFmtId="178" fontId="2" fillId="0" borderId="0" xfId="0" applyNumberFormat="1" applyFont="1">
      <alignment vertical="center"/>
    </xf>
    <xf numFmtId="0" fontId="8" fillId="0" borderId="0" xfId="0" applyFont="1">
      <alignment vertical="center"/>
    </xf>
    <xf numFmtId="176" fontId="0" fillId="0" borderId="0" xfId="0" applyNumberFormat="1">
      <alignment vertical="center"/>
    </xf>
    <xf numFmtId="179" fontId="2" fillId="0" borderId="0" xfId="0" applyNumberFormat="1" applyFont="1">
      <alignment vertical="center"/>
    </xf>
    <xf numFmtId="180" fontId="2" fillId="0" borderId="0" xfId="0" applyNumberFormat="1" applyFont="1">
      <alignment vertical="center"/>
    </xf>
    <xf numFmtId="181" fontId="2" fillId="0" borderId="0" xfId="0" applyNumberFormat="1" applyFont="1">
      <alignment vertical="center"/>
    </xf>
    <xf numFmtId="0" fontId="9" fillId="0" borderId="0" xfId="0" applyFont="1">
      <alignment vertical="center"/>
    </xf>
    <xf numFmtId="0" fontId="10" fillId="0" borderId="0" xfId="0" applyFont="1">
      <alignment vertical="center"/>
    </xf>
    <xf numFmtId="2" fontId="0" fillId="0" borderId="0" xfId="0" applyNumberFormat="1">
      <alignment vertical="center"/>
    </xf>
    <xf numFmtId="0" fontId="0" fillId="3" borderId="0" xfId="0" applyFill="1">
      <alignment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shrinkToFit="1"/>
    </xf>
    <xf numFmtId="0" fontId="11"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1" fillId="5" borderId="1" xfId="0" applyFont="1" applyFill="1" applyBorder="1" applyAlignment="1">
      <alignment vertical="center" wrapText="1"/>
    </xf>
    <xf numFmtId="0" fontId="12" fillId="2" borderId="1" xfId="0" applyFont="1" applyFill="1" applyBorder="1" applyAlignment="1">
      <alignment horizontal="center" vertical="center" wrapText="1" shrinkToFit="1"/>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pplyProtection="1">
      <alignment vertical="center" wrapText="1"/>
      <protection locked="0"/>
    </xf>
    <xf numFmtId="0" fontId="11" fillId="0" borderId="1" xfId="0" applyFont="1" applyBorder="1" applyAlignment="1" applyProtection="1">
      <alignment horizontal="center" vertical="center"/>
      <protection locked="0"/>
    </xf>
    <xf numFmtId="0" fontId="12" fillId="0" borderId="1" xfId="0" applyFont="1" applyBorder="1" applyAlignment="1">
      <alignment horizontal="center" vertical="center" shrinkToFit="1"/>
    </xf>
    <xf numFmtId="177" fontId="11" fillId="0" borderId="1" xfId="0" applyNumberFormat="1" applyFont="1" applyBorder="1" applyAlignment="1">
      <alignment horizontal="center" vertical="center"/>
    </xf>
    <xf numFmtId="0" fontId="11"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13" fillId="0" borderId="2"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4" fillId="0" borderId="1" xfId="0" applyFont="1" applyBorder="1" applyProtection="1">
      <alignment vertical="center"/>
      <protection locked="0"/>
    </xf>
    <xf numFmtId="0" fontId="11" fillId="0" borderId="0" xfId="0" applyFont="1" applyAlignment="1">
      <alignment horizontal="center" vertical="center"/>
    </xf>
    <xf numFmtId="0" fontId="11" fillId="0" borderId="1" xfId="0" applyFont="1" applyBorder="1" applyProtection="1">
      <alignment vertical="center"/>
      <protection locked="0"/>
    </xf>
    <xf numFmtId="177" fontId="11" fillId="2" borderId="1" xfId="0" applyNumberFormat="1" applyFont="1" applyFill="1" applyBorder="1" applyAlignment="1">
      <alignment horizontal="center" vertical="center"/>
    </xf>
    <xf numFmtId="0" fontId="11" fillId="0" borderId="1" xfId="0" applyFont="1" applyBorder="1">
      <alignment vertical="center"/>
    </xf>
    <xf numFmtId="0" fontId="12" fillId="0" borderId="1" xfId="0" applyFont="1" applyBorder="1" applyAlignment="1" applyProtection="1">
      <alignment horizontal="left" vertical="center" wrapText="1"/>
      <protection locked="0"/>
    </xf>
    <xf numFmtId="176" fontId="11" fillId="2" borderId="1" xfId="0" applyNumberFormat="1" applyFont="1" applyFill="1" applyBorder="1" applyAlignment="1">
      <alignment horizontal="center" vertical="center"/>
    </xf>
    <xf numFmtId="0" fontId="11" fillId="0" borderId="2" xfId="0" applyFont="1" applyBorder="1" applyAlignment="1">
      <alignment horizontal="center" vertical="center"/>
    </xf>
    <xf numFmtId="2" fontId="11" fillId="2" borderId="1" xfId="0" applyNumberFormat="1" applyFont="1" applyFill="1" applyBorder="1" applyAlignment="1">
      <alignment horizontal="center" vertical="center"/>
    </xf>
    <xf numFmtId="0" fontId="11" fillId="0" borderId="1" xfId="0" applyFont="1" applyBorder="1" applyAlignment="1" applyProtection="1">
      <alignment vertical="center" wrapText="1"/>
      <protection locked="0"/>
    </xf>
    <xf numFmtId="0" fontId="13" fillId="0" borderId="1" xfId="0" applyFont="1" applyBorder="1" applyAlignment="1">
      <alignment horizontal="center" vertical="center"/>
    </xf>
    <xf numFmtId="0" fontId="4" fillId="0" borderId="1" xfId="0" applyFont="1" applyBorder="1">
      <alignment vertical="center"/>
    </xf>
    <xf numFmtId="0" fontId="11" fillId="0" borderId="1" xfId="0" applyFont="1" applyBorder="1" applyAlignment="1" applyProtection="1">
      <alignment horizontal="left" vertical="center" wrapText="1"/>
      <protection locked="0"/>
    </xf>
    <xf numFmtId="2" fontId="11" fillId="0" borderId="1" xfId="0" applyNumberFormat="1" applyFont="1" applyBorder="1" applyAlignment="1">
      <alignment horizontal="center" vertical="center"/>
    </xf>
    <xf numFmtId="0" fontId="13" fillId="5" borderId="2" xfId="0" applyFont="1" applyFill="1" applyBorder="1" applyAlignment="1">
      <alignment horizontal="center" vertical="center"/>
    </xf>
    <xf numFmtId="2" fontId="11" fillId="0" borderId="1" xfId="0" applyNumberFormat="1" applyFont="1" applyBorder="1" applyAlignment="1" applyProtection="1">
      <alignment horizontal="center" vertical="center"/>
      <protection locked="0"/>
    </xf>
    <xf numFmtId="0" fontId="17" fillId="0" borderId="0" xfId="0" applyFont="1" applyAlignment="1">
      <alignment horizontal="center" vertical="center"/>
    </xf>
    <xf numFmtId="0" fontId="11" fillId="5" borderId="1" xfId="0" applyFont="1" applyFill="1" applyBorder="1" applyAlignment="1">
      <alignment horizontal="left" vertical="center"/>
    </xf>
    <xf numFmtId="0" fontId="11" fillId="0" borderId="1" xfId="0" applyFont="1" applyBorder="1" applyAlignment="1">
      <alignment horizontal="center" vertical="center" shrinkToFit="1"/>
    </xf>
    <xf numFmtId="0" fontId="12" fillId="0" borderId="1" xfId="0" applyFont="1" applyBorder="1" applyAlignment="1">
      <alignment vertical="center" wrapText="1"/>
    </xf>
    <xf numFmtId="177" fontId="11" fillId="5" borderId="1" xfId="0" applyNumberFormat="1" applyFont="1" applyFill="1" applyBorder="1" applyAlignment="1">
      <alignment horizontal="center" vertical="center"/>
    </xf>
    <xf numFmtId="0" fontId="12" fillId="5" borderId="1" xfId="0" applyFont="1" applyFill="1" applyBorder="1" applyAlignment="1">
      <alignment horizontal="center" vertical="center" shrinkToFit="1"/>
    </xf>
    <xf numFmtId="0" fontId="11" fillId="5" borderId="1" xfId="0" applyFont="1" applyFill="1" applyBorder="1" applyAlignment="1">
      <alignment horizontal="center" vertical="center"/>
    </xf>
    <xf numFmtId="176" fontId="11" fillId="0" borderId="1" xfId="0" applyNumberFormat="1" applyFont="1" applyBorder="1" applyAlignment="1">
      <alignment horizontal="center" vertical="center"/>
    </xf>
    <xf numFmtId="179" fontId="11" fillId="2" borderId="1" xfId="0" applyNumberFormat="1" applyFont="1" applyFill="1" applyBorder="1" applyAlignment="1">
      <alignment horizontal="center" vertical="center"/>
    </xf>
    <xf numFmtId="180" fontId="12" fillId="2" borderId="1" xfId="0" applyNumberFormat="1" applyFont="1" applyFill="1" applyBorder="1" applyAlignment="1">
      <alignment horizontal="center" vertical="center"/>
    </xf>
    <xf numFmtId="181" fontId="11" fillId="2" borderId="1" xfId="0" applyNumberFormat="1" applyFont="1" applyFill="1" applyBorder="1" applyAlignment="1">
      <alignment horizontal="center" vertical="center"/>
    </xf>
    <xf numFmtId="0" fontId="11" fillId="3" borderId="1" xfId="0" applyFont="1" applyFill="1" applyBorder="1">
      <alignment vertical="center"/>
    </xf>
    <xf numFmtId="177" fontId="12" fillId="0" borderId="1" xfId="0" applyNumberFormat="1" applyFont="1" applyBorder="1" applyAlignment="1">
      <alignment horizontal="center" vertical="center" shrinkToFit="1"/>
    </xf>
    <xf numFmtId="0" fontId="17" fillId="0" borderId="1" xfId="0" applyFont="1" applyBorder="1" applyAlignment="1">
      <alignment horizontal="center" vertical="center"/>
    </xf>
    <xf numFmtId="0" fontId="18" fillId="0" borderId="1" xfId="0" applyFont="1" applyBorder="1" applyAlignment="1">
      <alignment vertical="center" wrapText="1"/>
    </xf>
    <xf numFmtId="0" fontId="18" fillId="0" borderId="1" xfId="0" applyFont="1" applyBorder="1" applyAlignment="1">
      <alignment horizontal="center" vertical="center"/>
    </xf>
    <xf numFmtId="0" fontId="11" fillId="5" borderId="0" xfId="0" applyFont="1" applyFill="1" applyAlignment="1">
      <alignment horizontal="center" vertical="center"/>
    </xf>
    <xf numFmtId="0" fontId="12" fillId="0" borderId="1" xfId="0" applyFont="1" applyBorder="1" applyAlignment="1">
      <alignment horizontal="center" vertical="center"/>
    </xf>
    <xf numFmtId="0" fontId="11" fillId="5" borderId="1" xfId="0" applyFont="1" applyFill="1" applyBorder="1">
      <alignment vertical="center"/>
    </xf>
    <xf numFmtId="0" fontId="12" fillId="4" borderId="1" xfId="0" applyFont="1" applyFill="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176" fontId="11" fillId="2" borderId="1" xfId="0" applyNumberFormat="1" applyFont="1" applyFill="1" applyBorder="1" applyAlignment="1">
      <alignment horizontal="center" vertical="center" shrinkToFit="1"/>
    </xf>
    <xf numFmtId="0" fontId="11" fillId="2" borderId="1" xfId="0" applyFont="1" applyFill="1" applyBorder="1" applyAlignment="1">
      <alignment horizontal="center" vertical="center" shrinkToFit="1"/>
    </xf>
    <xf numFmtId="1" fontId="11" fillId="0" borderId="1" xfId="0" applyNumberFormat="1" applyFont="1" applyBorder="1" applyAlignment="1">
      <alignment horizontal="center" vertical="center"/>
    </xf>
    <xf numFmtId="0" fontId="11" fillId="0" borderId="1" xfId="0" applyFont="1" applyBorder="1" applyAlignment="1">
      <alignment vertical="center" wrapText="1" shrinkToFit="1"/>
    </xf>
    <xf numFmtId="0" fontId="23" fillId="0" borderId="1" xfId="0" applyFont="1" applyBorder="1" applyAlignment="1">
      <alignment horizontal="left" vertical="center"/>
    </xf>
    <xf numFmtId="0" fontId="4" fillId="0" borderId="0" xfId="0" applyFont="1">
      <alignment vertical="center"/>
    </xf>
    <xf numFmtId="182" fontId="12" fillId="2" borderId="1" xfId="0" applyNumberFormat="1" applyFont="1" applyFill="1" applyBorder="1" applyAlignment="1">
      <alignment horizontal="center" vertical="center"/>
    </xf>
    <xf numFmtId="1" fontId="11" fillId="2"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182" fontId="11" fillId="2" borderId="1" xfId="0" applyNumberFormat="1" applyFont="1" applyFill="1" applyBorder="1" applyAlignment="1">
      <alignment horizontal="center" vertical="center"/>
    </xf>
    <xf numFmtId="0" fontId="15" fillId="5" borderId="1" xfId="0" applyFont="1" applyFill="1" applyBorder="1" applyAlignment="1">
      <alignment horizontal="center" vertical="center"/>
    </xf>
    <xf numFmtId="0" fontId="13" fillId="5" borderId="1" xfId="0" applyFont="1" applyFill="1" applyBorder="1" applyAlignment="1">
      <alignment horizontal="center" vertical="center"/>
    </xf>
    <xf numFmtId="183" fontId="11" fillId="2" borderId="1" xfId="0" applyNumberFormat="1" applyFont="1" applyFill="1" applyBorder="1" applyAlignment="1">
      <alignment horizontal="center" vertical="center"/>
    </xf>
    <xf numFmtId="0" fontId="11" fillId="0" borderId="0" xfId="0" applyFont="1">
      <alignment vertical="center"/>
    </xf>
    <xf numFmtId="0" fontId="24" fillId="0" borderId="0" xfId="0" applyFont="1">
      <alignment vertical="center"/>
    </xf>
    <xf numFmtId="0" fontId="24" fillId="0" borderId="0" xfId="0" applyFont="1" applyAlignment="1">
      <alignment horizontal="center" vertical="center"/>
    </xf>
    <xf numFmtId="0" fontId="12" fillId="5" borderId="1" xfId="0" applyFont="1" applyFill="1" applyBorder="1" applyAlignment="1">
      <alignment vertical="center" wrapText="1"/>
    </xf>
    <xf numFmtId="0" fontId="12" fillId="0" borderId="1" xfId="0" applyFont="1" applyBorder="1" applyAlignment="1" applyProtection="1">
      <alignment horizontal="center" vertical="center"/>
      <protection locked="0"/>
    </xf>
    <xf numFmtId="0" fontId="20" fillId="5" borderId="2" xfId="0" applyFont="1" applyFill="1" applyBorder="1" applyAlignment="1">
      <alignment horizontal="center" vertical="center"/>
    </xf>
    <xf numFmtId="0" fontId="20" fillId="5" borderId="1" xfId="0" applyFont="1" applyFill="1" applyBorder="1" applyAlignment="1">
      <alignment horizontal="center" vertical="center"/>
    </xf>
    <xf numFmtId="0" fontId="12" fillId="0" borderId="0" xfId="0" applyFont="1">
      <alignment vertical="center"/>
    </xf>
    <xf numFmtId="2" fontId="12" fillId="0" borderId="1" xfId="0" applyNumberFormat="1" applyFont="1" applyBorder="1" applyAlignment="1" applyProtection="1">
      <alignment horizontal="center" vertical="center"/>
      <protection locked="0"/>
    </xf>
    <xf numFmtId="0" fontId="12" fillId="0" borderId="0" xfId="0" applyFont="1" applyAlignment="1">
      <alignment horizontal="center" vertical="center"/>
    </xf>
    <xf numFmtId="182" fontId="12" fillId="0" borderId="1" xfId="0" applyNumberFormat="1" applyFont="1" applyBorder="1" applyAlignment="1">
      <alignment horizontal="center" vertical="center" shrinkToFit="1"/>
    </xf>
    <xf numFmtId="0" fontId="11" fillId="3" borderId="0" xfId="0" applyFont="1" applyFill="1" applyAlignment="1">
      <alignment horizontal="center" vertical="center"/>
    </xf>
    <xf numFmtId="0" fontId="13" fillId="0" borderId="3" xfId="0" applyFont="1" applyBorder="1" applyAlignment="1">
      <alignment horizontal="center" vertical="center"/>
    </xf>
    <xf numFmtId="0" fontId="25" fillId="0" borderId="1" xfId="0" applyFont="1" applyBorder="1">
      <alignment vertical="center"/>
    </xf>
    <xf numFmtId="177" fontId="11" fillId="2" borderId="1" xfId="0" applyNumberFormat="1" applyFont="1" applyFill="1" applyBorder="1" applyAlignment="1">
      <alignment horizontal="center" vertical="center" shrinkToFit="1"/>
    </xf>
    <xf numFmtId="0" fontId="30" fillId="0" borderId="0" xfId="0" applyFont="1">
      <alignment vertical="center"/>
    </xf>
    <xf numFmtId="0" fontId="33" fillId="0" borderId="0" xfId="0" applyFont="1" applyAlignment="1">
      <alignment horizontal="center" vertical="center"/>
    </xf>
    <xf numFmtId="0" fontId="35" fillId="0" borderId="0" xfId="0" applyFont="1" applyAlignment="1">
      <alignment vertical="center" wrapText="1"/>
    </xf>
    <xf numFmtId="0" fontId="36" fillId="0" borderId="0" xfId="0" applyFont="1">
      <alignment vertical="center"/>
    </xf>
    <xf numFmtId="176" fontId="8" fillId="0" borderId="0" xfId="0" applyNumberFormat="1" applyFont="1">
      <alignment vertical="center"/>
    </xf>
    <xf numFmtId="179" fontId="30" fillId="0" borderId="0" xfId="0" applyNumberFormat="1" applyFont="1">
      <alignment vertical="center"/>
    </xf>
    <xf numFmtId="180" fontId="30" fillId="0" borderId="0" xfId="0" applyNumberFormat="1" applyFont="1">
      <alignment vertical="center"/>
    </xf>
    <xf numFmtId="181" fontId="30" fillId="0" borderId="0" xfId="0" applyNumberFormat="1" applyFont="1">
      <alignment vertical="center"/>
    </xf>
    <xf numFmtId="177" fontId="8" fillId="0" borderId="0" xfId="0" applyNumberFormat="1" applyFont="1">
      <alignment vertical="center"/>
    </xf>
    <xf numFmtId="2" fontId="30" fillId="0" borderId="0" xfId="0" applyNumberFormat="1" applyFont="1">
      <alignment vertical="center"/>
    </xf>
    <xf numFmtId="1" fontId="8" fillId="0" borderId="0" xfId="0" applyNumberFormat="1" applyFont="1">
      <alignment vertical="center"/>
    </xf>
    <xf numFmtId="177" fontId="30" fillId="0" borderId="0" xfId="0" applyNumberFormat="1" applyFont="1">
      <alignment vertical="center"/>
    </xf>
    <xf numFmtId="2" fontId="8" fillId="0" borderId="0" xfId="0" applyNumberFormat="1" applyFont="1">
      <alignment vertical="center"/>
    </xf>
    <xf numFmtId="176" fontId="30" fillId="0" borderId="0" xfId="0" applyNumberFormat="1" applyFont="1">
      <alignment vertical="center"/>
    </xf>
    <xf numFmtId="0" fontId="30" fillId="0" borderId="0" xfId="0" applyFont="1" applyAlignment="1">
      <alignment horizontal="center" vertical="center" shrinkToFit="1"/>
    </xf>
    <xf numFmtId="0" fontId="8" fillId="3" borderId="0" xfId="0" applyFont="1" applyFill="1">
      <alignment vertical="center"/>
    </xf>
    <xf numFmtId="0" fontId="13" fillId="0" borderId="6" xfId="0" applyFont="1" applyBorder="1" applyAlignment="1">
      <alignment horizontal="center" vertical="center"/>
    </xf>
    <xf numFmtId="0" fontId="16" fillId="0" borderId="1" xfId="0" applyFont="1" applyBorder="1" applyAlignment="1">
      <alignment horizontal="left" vertical="center"/>
    </xf>
    <xf numFmtId="0" fontId="4" fillId="0" borderId="0" xfId="0" applyFont="1" applyAlignment="1">
      <alignment horizontal="center" vertical="center"/>
    </xf>
    <xf numFmtId="0" fontId="6" fillId="0" borderId="0" xfId="0" applyFont="1" applyAlignment="1">
      <alignment horizontal="center" vertical="center" wrapText="1" readingOrder="1"/>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37" fillId="0" borderId="5" xfId="0" applyFont="1" applyBorder="1" applyAlignment="1">
      <alignment horizontal="right" vertical="center" indent="1"/>
    </xf>
    <xf numFmtId="0" fontId="37" fillId="0" borderId="5" xfId="0" applyFont="1" applyBorder="1" applyAlignment="1">
      <alignment horizontal="left" vertical="center" indent="3"/>
    </xf>
    <xf numFmtId="0" fontId="37" fillId="0" borderId="4" xfId="0" applyFont="1" applyBorder="1" applyAlignment="1">
      <alignment horizontal="right" vertical="center" indent="1"/>
    </xf>
    <xf numFmtId="184" fontId="37" fillId="0" borderId="5" xfId="0" applyNumberFormat="1" applyFont="1" applyBorder="1" applyAlignment="1">
      <alignment horizontal="left" vertical="center" indent="3"/>
    </xf>
    <xf numFmtId="0" fontId="31" fillId="0" borderId="0" xfId="0" applyFont="1" applyAlignment="1">
      <alignment horizontal="center" vertical="center"/>
    </xf>
    <xf numFmtId="0" fontId="34" fillId="0" borderId="0" xfId="0" applyFont="1" applyAlignment="1">
      <alignment vertical="distributed" wrapText="1"/>
    </xf>
  </cellXfs>
  <cellStyles count="4">
    <cellStyle name="백분율 2" xfId="1" xr:uid="{00000000-0005-0000-0000-000006000000}"/>
    <cellStyle name="표준" xfId="0" builtinId="0"/>
    <cellStyle name="표준 144" xfId="2" xr:uid="{00000000-0005-0000-0000-000007000000}"/>
    <cellStyle name="표준 2 2" xfId="3" xr:uid="{00000000-0005-0000-0000-000008000000}"/>
  </cellStyles>
  <dxfs count="10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color rgb="FF000000"/>
      </font>
      <fill>
        <patternFill>
          <bgColor rgb="FFFF0000"/>
        </patternFill>
      </fill>
    </dxf>
    <dxf>
      <font>
        <b val="0"/>
        <i val="0"/>
        <sz val="11"/>
        <color rgb="FFFF0000"/>
        <name val="맑은 고딕"/>
        <family val="2"/>
        <charset val="1"/>
      </font>
    </dxf>
    <dxf>
      <font>
        <b val="0"/>
        <i val="0"/>
        <sz val="11"/>
        <color rgb="FFFF0000"/>
        <name val="맑은 고딕"/>
        <family val="2"/>
        <charset val="1"/>
      </font>
    </dxf>
    <dxf>
      <font>
        <color rgb="FFFF0000"/>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ill>
        <patternFill>
          <bgColor rgb="FFFF0000"/>
        </patternFill>
      </fill>
    </dxf>
    <dxf>
      <font>
        <color rgb="FFFFFFFF"/>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ill>
        <patternFill>
          <bgColor rgb="FFFF0000"/>
        </patternFill>
      </fill>
    </dxf>
    <dxf>
      <font>
        <color rgb="FFFFFFFF"/>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0000"/>
        <name val="맑은 고딕"/>
        <family val="2"/>
        <charset val="1"/>
      </font>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0000"/>
        <name val="맑은 고딕"/>
        <family val="2"/>
        <charset val="1"/>
      </font>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trike val="0"/>
        <color rgb="FF000000"/>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ont>
        <sz val="11"/>
        <color rgb="FFFF0000"/>
        <name val="맑은 고딕"/>
        <family val="2"/>
        <charset val="1"/>
      </font>
    </dxf>
    <dxf>
      <font>
        <sz val="11"/>
        <color rgb="FF000000"/>
        <name val="맑은 고딕"/>
        <family val="2"/>
        <charset val="1"/>
      </font>
      <fill>
        <patternFill>
          <bgColor rgb="FFFF0000"/>
        </patternFill>
      </fill>
    </dxf>
    <dxf>
      <font>
        <sz val="11"/>
        <color rgb="FFFFFFFF"/>
        <name val="맑은 고딕"/>
        <family val="2"/>
        <charset val="1"/>
      </font>
      <fill>
        <patternFill>
          <bgColor rgb="FFFF0000"/>
        </patternFill>
      </fill>
    </dxf>
    <dxf>
      <fill>
        <patternFill>
          <bgColor rgb="FFFF0000"/>
        </patternFill>
      </fill>
    </dxf>
    <dxf>
      <font>
        <color rgb="FFFFFFFF"/>
      </font>
      <fill>
        <patternFill>
          <bgColor rgb="FFFF0000"/>
        </patternFill>
      </fill>
    </dxf>
    <dxf>
      <font>
        <b val="0"/>
        <i val="0"/>
        <sz val="11"/>
        <color rgb="FFFF0000"/>
        <name val="맑은 고딕"/>
        <family val="2"/>
        <charset val="1"/>
      </font>
    </dxf>
    <dxf>
      <font>
        <b val="0"/>
        <i val="0"/>
        <sz val="11"/>
        <color rgb="FFFF0000"/>
        <name val="맑은 고딕"/>
        <family val="2"/>
        <charset val="1"/>
      </font>
    </dxf>
    <dxf>
      <font>
        <b val="0"/>
        <i val="0"/>
        <color rgb="FFFF0000"/>
      </font>
    </dxf>
    <dxf>
      <font>
        <b val="0"/>
        <i val="0"/>
        <color rgb="FFFF0000"/>
      </font>
    </dxf>
    <dxf>
      <font>
        <b val="0"/>
        <i val="0"/>
        <color rgb="FFFF0000"/>
      </font>
    </dxf>
    <dxf>
      <font>
        <b val="0"/>
        <i val="0"/>
        <sz val="11"/>
        <color rgb="FFFF0000"/>
        <name val="맑은 고딕"/>
        <family val="2"/>
        <charset val="1"/>
      </font>
    </dxf>
    <dxf>
      <font>
        <b/>
        <i val="0"/>
        <color rgb="FFFFFFFF"/>
      </font>
    </dxf>
    <dxf>
      <font>
        <b/>
        <i val="0"/>
        <color rgb="FFC00000"/>
      </font>
    </dxf>
    <dxf>
      <font>
        <b/>
        <i val="0"/>
        <color rgb="FFFF0000"/>
      </font>
    </dxf>
    <dxf>
      <font>
        <b/>
        <i val="0"/>
        <color rgb="FFFFFFFF"/>
      </font>
    </dxf>
    <dxf>
      <font>
        <b/>
        <i val="0"/>
        <color rgb="FFFFFFFF"/>
      </font>
    </dxf>
    <dxf>
      <font>
        <b/>
        <i val="0"/>
        <color rgb="FFC00000"/>
      </font>
    </dxf>
    <dxf>
      <font>
        <b/>
        <i val="0"/>
        <color rgb="FFFF0000"/>
      </font>
    </dxf>
    <dxf>
      <font>
        <b/>
        <i val="0"/>
        <color rgb="FFFFFFFF"/>
      </font>
    </dxf>
    <dxf>
      <font>
        <b/>
        <i val="0"/>
        <color rgb="FFFFFFFF"/>
      </font>
    </dxf>
    <dxf>
      <font>
        <b/>
        <i val="0"/>
        <color rgb="FFC00000"/>
      </font>
    </dxf>
    <dxf>
      <font>
        <b/>
        <i val="0"/>
        <color rgb="FFFF0000"/>
      </font>
    </dxf>
    <dxf>
      <font>
        <b/>
        <i val="0"/>
        <color rgb="FFFFFFFF"/>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70C0"/>
      <rgbColor rgb="FFCCCCFF"/>
      <rgbColor rgb="FF000080"/>
      <rgbColor rgb="FFFF00FF"/>
      <rgbColor rgb="FFFFFF00"/>
      <rgbColor rgb="FF00FFFF"/>
      <rgbColor rgb="FF800080"/>
      <rgbColor rgb="FF800000"/>
      <rgbColor rgb="FF008080"/>
      <rgbColor rgb="FF0000FF"/>
      <rgbColor rgb="FF14B1E7"/>
      <rgbColor rgb="FFCCFFFF"/>
      <rgbColor rgb="FFCCFFCC"/>
      <rgbColor rgb="FFFFFF99"/>
      <rgbColor rgb="FF99CCFF"/>
      <rgbColor rgb="FFFF99CC"/>
      <rgbColor rgb="FFCC99FF"/>
      <rgbColor rgb="FFFFCC99"/>
      <rgbColor rgb="FF4472C4"/>
      <rgbColor rgb="FF33CCCC"/>
      <rgbColor rgb="FF99CC00"/>
      <rgbColor rgb="FFFFC000"/>
      <rgbColor rgb="FFFF9900"/>
      <rgbColor rgb="FFFF6600"/>
      <rgbColor rgb="FF666699"/>
      <rgbColor rgb="FF969696"/>
      <rgbColor rgb="FF013B8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0</xdr:col>
      <xdr:colOff>28080</xdr:colOff>
      <xdr:row>0</xdr:row>
      <xdr:rowOff>166680</xdr:rowOff>
    </xdr:from>
    <xdr:to>
      <xdr:col>23</xdr:col>
      <xdr:colOff>509760</xdr:colOff>
      <xdr:row>42</xdr:row>
      <xdr:rowOff>18720</xdr:rowOff>
    </xdr:to>
    <xdr:grpSp>
      <xdr:nvGrpSpPr>
        <xdr:cNvPr id="2" name="그룹 1">
          <a:extLst>
            <a:ext uri="{FF2B5EF4-FFF2-40B4-BE49-F238E27FC236}">
              <a16:creationId xmlns:a16="http://schemas.microsoft.com/office/drawing/2014/main" id="{00000000-0008-0000-0000-000002000000}"/>
            </a:ext>
          </a:extLst>
        </xdr:cNvPr>
        <xdr:cNvGrpSpPr/>
      </xdr:nvGrpSpPr>
      <xdr:grpSpPr>
        <a:xfrm>
          <a:off x="28080" y="166680"/>
          <a:ext cx="16060347" cy="8742040"/>
          <a:chOff x="28080" y="166680"/>
          <a:chExt cx="14458680" cy="9053280"/>
        </a:xfrm>
      </xdr:grpSpPr>
      <xdr:pic>
        <xdr:nvPicPr>
          <xdr:cNvPr id="3" name="그래픽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28080" y="166680"/>
            <a:ext cx="14458680" cy="9053280"/>
          </a:xfrm>
          <a:prstGeom prst="rect">
            <a:avLst/>
          </a:prstGeom>
          <a:noFill/>
          <a:ln w="0">
            <a:noFill/>
          </a:ln>
        </xdr:spPr>
      </xdr:pic>
      <xdr:sp macro="" textlink="">
        <xdr:nvSpPr>
          <xdr:cNvPr id="4" name="직사각형 3">
            <a:extLst>
              <a:ext uri="{FF2B5EF4-FFF2-40B4-BE49-F238E27FC236}">
                <a16:creationId xmlns:a16="http://schemas.microsoft.com/office/drawing/2014/main" id="{00000000-0008-0000-0000-000004000000}"/>
              </a:ext>
            </a:extLst>
          </xdr:cNvPr>
          <xdr:cNvSpPr/>
        </xdr:nvSpPr>
        <xdr:spPr>
          <a:xfrm>
            <a:off x="10795680" y="5013720"/>
            <a:ext cx="3105360" cy="120384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clientData/>
  </xdr:twoCellAnchor>
  <xdr:twoCellAnchor>
    <xdr:from>
      <xdr:col>12</xdr:col>
      <xdr:colOff>109080</xdr:colOff>
      <xdr:row>20</xdr:row>
      <xdr:rowOff>194040</xdr:rowOff>
    </xdr:from>
    <xdr:to>
      <xdr:col>22</xdr:col>
      <xdr:colOff>492840</xdr:colOff>
      <xdr:row>27</xdr:row>
      <xdr:rowOff>105120</xdr:rowOff>
    </xdr:to>
    <xdr:sp macro="" textlink="">
      <xdr:nvSpPr>
        <xdr:cNvPr id="5" name="TextBox 4">
          <a:extLst>
            <a:ext uri="{FF2B5EF4-FFF2-40B4-BE49-F238E27FC236}">
              <a16:creationId xmlns:a16="http://schemas.microsoft.com/office/drawing/2014/main" id="{00000000-0008-0000-0000-000005000000}"/>
            </a:ext>
          </a:extLst>
        </xdr:cNvPr>
        <xdr:cNvSpPr/>
      </xdr:nvSpPr>
      <xdr:spPr>
        <a:xfrm>
          <a:off x="7401600" y="4575600"/>
          <a:ext cx="6460560" cy="14446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r" defTabSz="457200">
            <a:lnSpc>
              <a:spcPct val="100000"/>
            </a:lnSpc>
          </a:pPr>
          <a:r>
            <a:rPr lang="en-US" sz="4400" b="1" u="none" strike="noStrike">
              <a:solidFill>
                <a:srgbClr val="013B82"/>
              </a:solidFill>
              <a:effectLst/>
              <a:uFillTx/>
              <a:latin typeface="Arial"/>
            </a:rPr>
            <a:t>Park </a:t>
          </a:r>
          <a:r>
            <a:rPr lang="en-US" sz="4400" b="1" u="none" strike="noStrike">
              <a:solidFill>
                <a:srgbClr val="14B1E7"/>
              </a:solidFill>
              <a:effectLst/>
              <a:uFillTx/>
              <a:latin typeface="Arial"/>
            </a:rPr>
            <a:t>NX-Wafer</a:t>
          </a:r>
          <a:endParaRPr lang="en-US" sz="4400" b="0" u="none" strike="noStrike">
            <a:effectLst/>
            <a:uFillTx/>
            <a:latin typeface="Times New Roman"/>
          </a:endParaRPr>
        </a:p>
        <a:p>
          <a:pPr algn="r" defTabSz="457200">
            <a:lnSpc>
              <a:spcPct val="100000"/>
            </a:lnSpc>
          </a:pPr>
          <a:r>
            <a:rPr lang="en-US" sz="2400" b="1" u="none" strike="noStrike">
              <a:solidFill>
                <a:schemeClr val="dk1">
                  <a:lumMod val="50000"/>
                  <a:lumOff val="50000"/>
                </a:schemeClr>
              </a:solidFill>
              <a:effectLst/>
              <a:uFillTx/>
              <a:latin typeface="Arial"/>
            </a:rPr>
            <a:t>END USER: Huahong Grace Fab3 #2</a:t>
          </a:r>
          <a:endParaRPr lang="en-US" sz="2400" b="0" u="none" strike="noStrike">
            <a:effectLst/>
            <a:uFillTx/>
            <a:latin typeface="Times New Roman"/>
          </a:endParaRPr>
        </a:p>
        <a:p>
          <a:pPr algn="r" defTabSz="457200">
            <a:lnSpc>
              <a:spcPct val="100000"/>
            </a:lnSpc>
          </a:pPr>
          <a:r>
            <a:rPr lang="en-US" sz="2400" b="1" u="none" strike="noStrike">
              <a:solidFill>
                <a:schemeClr val="dk1">
                  <a:lumMod val="50000"/>
                  <a:lumOff val="50000"/>
                </a:schemeClr>
              </a:solidFill>
              <a:effectLst/>
              <a:uFillTx/>
              <a:latin typeface="Arial"/>
            </a:rPr>
            <a:t>SID No. : C160112-020725</a:t>
          </a:r>
          <a:endParaRPr lang="en-US" sz="24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7</xdr:row>
      <xdr:rowOff>467280</xdr:rowOff>
    </xdr:from>
    <xdr:to>
      <xdr:col>24</xdr:col>
      <xdr:colOff>439200</xdr:colOff>
      <xdr:row>8</xdr:row>
      <xdr:rowOff>192240</xdr:rowOff>
    </xdr:to>
    <xdr:pic>
      <xdr:nvPicPr>
        <xdr:cNvPr id="4" name="그림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50466600" y="4534560"/>
          <a:ext cx="6096960" cy="306000"/>
        </a:xfrm>
        <a:prstGeom prst="rect">
          <a:avLst/>
        </a:prstGeom>
        <a:solidFill>
          <a:srgbClr val="FFFFFF"/>
        </a:solidFill>
        <a:ln w="0">
          <a:noFill/>
        </a:ln>
      </xdr:spPr>
    </xdr:pic>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5" name="TextBox 2">
          <a:extLst>
            <a:ext uri="{FF2B5EF4-FFF2-40B4-BE49-F238E27FC236}">
              <a16:creationId xmlns:a16="http://schemas.microsoft.com/office/drawing/2014/main" id="{00000000-0008-0000-0100-000005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6" name="TextBox 3">
          <a:extLst>
            <a:ext uri="{FF2B5EF4-FFF2-40B4-BE49-F238E27FC236}">
              <a16:creationId xmlns:a16="http://schemas.microsoft.com/office/drawing/2014/main" id="{00000000-0008-0000-0100-000006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7" name="TextBox 4">
          <a:extLst>
            <a:ext uri="{FF2B5EF4-FFF2-40B4-BE49-F238E27FC236}">
              <a16:creationId xmlns:a16="http://schemas.microsoft.com/office/drawing/2014/main" id="{00000000-0008-0000-0100-000007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8" name="TextBox 5">
          <a:extLst>
            <a:ext uri="{FF2B5EF4-FFF2-40B4-BE49-F238E27FC236}">
              <a16:creationId xmlns:a16="http://schemas.microsoft.com/office/drawing/2014/main" id="{00000000-0008-0000-0100-000008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332535</xdr:rowOff>
    </xdr:to>
    <xdr:sp macro="" textlink="">
      <xdr:nvSpPr>
        <xdr:cNvPr id="9" name="TextBox 1">
          <a:extLst>
            <a:ext uri="{FF2B5EF4-FFF2-40B4-BE49-F238E27FC236}">
              <a16:creationId xmlns:a16="http://schemas.microsoft.com/office/drawing/2014/main" id="{00000000-0008-0000-0100-000009000000}"/>
            </a:ext>
          </a:extLst>
        </xdr:cNvPr>
        <xdr:cNvSpPr/>
      </xdr:nvSpPr>
      <xdr:spPr>
        <a:xfrm>
          <a:off x="18102600" y="57445200"/>
          <a:ext cx="360" cy="8064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333255</xdr:rowOff>
    </xdr:to>
    <xdr:sp macro="" textlink="">
      <xdr:nvSpPr>
        <xdr:cNvPr id="10" name="TextBox 3">
          <a:extLst>
            <a:ext uri="{FF2B5EF4-FFF2-40B4-BE49-F238E27FC236}">
              <a16:creationId xmlns:a16="http://schemas.microsoft.com/office/drawing/2014/main" id="{00000000-0008-0000-0100-00000A000000}"/>
            </a:ext>
          </a:extLst>
        </xdr:cNvPr>
        <xdr:cNvSpPr/>
      </xdr:nvSpPr>
      <xdr:spPr>
        <a:xfrm>
          <a:off x="18102600" y="57445200"/>
          <a:ext cx="360" cy="81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333255</xdr:rowOff>
    </xdr:to>
    <xdr:sp macro="" textlink="">
      <xdr:nvSpPr>
        <xdr:cNvPr id="11" name="TextBox 2">
          <a:extLst>
            <a:ext uri="{FF2B5EF4-FFF2-40B4-BE49-F238E27FC236}">
              <a16:creationId xmlns:a16="http://schemas.microsoft.com/office/drawing/2014/main" id="{00000000-0008-0000-0100-00000B000000}"/>
            </a:ext>
          </a:extLst>
        </xdr:cNvPr>
        <xdr:cNvSpPr/>
      </xdr:nvSpPr>
      <xdr:spPr>
        <a:xfrm>
          <a:off x="18102600" y="57445200"/>
          <a:ext cx="360" cy="81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12" name="TextBox 9">
          <a:extLst>
            <a:ext uri="{FF2B5EF4-FFF2-40B4-BE49-F238E27FC236}">
              <a16:creationId xmlns:a16="http://schemas.microsoft.com/office/drawing/2014/main" id="{00000000-0008-0000-0100-00000C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13" name="TextBox 10">
          <a:extLst>
            <a:ext uri="{FF2B5EF4-FFF2-40B4-BE49-F238E27FC236}">
              <a16:creationId xmlns:a16="http://schemas.microsoft.com/office/drawing/2014/main" id="{00000000-0008-0000-0100-00000D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98</xdr:row>
      <xdr:rowOff>299520</xdr:rowOff>
    </xdr:from>
    <xdr:to>
      <xdr:col>4</xdr:col>
      <xdr:colOff>305280</xdr:colOff>
      <xdr:row>98</xdr:row>
      <xdr:rowOff>331815</xdr:rowOff>
    </xdr:to>
    <xdr:sp macro="" textlink="">
      <xdr:nvSpPr>
        <xdr:cNvPr id="14" name="TextBox 11">
          <a:extLst>
            <a:ext uri="{FF2B5EF4-FFF2-40B4-BE49-F238E27FC236}">
              <a16:creationId xmlns:a16="http://schemas.microsoft.com/office/drawing/2014/main" id="{00000000-0008-0000-0100-00000E000000}"/>
            </a:ext>
          </a:extLst>
        </xdr:cNvPr>
        <xdr:cNvSpPr/>
      </xdr:nvSpPr>
      <xdr:spPr>
        <a:xfrm>
          <a:off x="18102600" y="57445200"/>
          <a:ext cx="360" cy="799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14</xdr:col>
      <xdr:colOff>0</xdr:colOff>
      <xdr:row>84</xdr:row>
      <xdr:rowOff>204120</xdr:rowOff>
    </xdr:from>
    <xdr:to>
      <xdr:col>22</xdr:col>
      <xdr:colOff>511919</xdr:colOff>
      <xdr:row>84</xdr:row>
      <xdr:rowOff>336675</xdr:rowOff>
    </xdr:to>
    <xdr:pic>
      <xdr:nvPicPr>
        <xdr:cNvPr id="15" name="그림 12">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2"/>
        <a:stretch/>
      </xdr:blipFill>
      <xdr:spPr>
        <a:xfrm>
          <a:off x="49376880" y="49215240"/>
          <a:ext cx="6002280" cy="294480"/>
        </a:xfrm>
        <a:prstGeom prst="rect">
          <a:avLst/>
        </a:prstGeom>
        <a:noFill/>
        <a:ln w="0">
          <a:noFill/>
        </a:ln>
      </xdr:spPr>
    </xdr:pic>
    <xdr:clientData/>
  </xdr:twoCellAnchor>
  <xdr:twoCellAnchor editAs="oneCell">
    <xdr:from>
      <xdr:col>4</xdr:col>
      <xdr:colOff>304920</xdr:colOff>
      <xdr:row>127</xdr:row>
      <xdr:rowOff>181800</xdr:rowOff>
    </xdr:from>
    <xdr:to>
      <xdr:col>4</xdr:col>
      <xdr:colOff>305280</xdr:colOff>
      <xdr:row>127</xdr:row>
      <xdr:rowOff>182160</xdr:rowOff>
    </xdr:to>
    <xdr:sp macro="" textlink="">
      <xdr:nvSpPr>
        <xdr:cNvPr id="16" name="TextBox 24">
          <a:extLst>
            <a:ext uri="{FF2B5EF4-FFF2-40B4-BE49-F238E27FC236}">
              <a16:creationId xmlns:a16="http://schemas.microsoft.com/office/drawing/2014/main" id="{00000000-0008-0000-0100-000010000000}"/>
            </a:ext>
          </a:extLst>
        </xdr:cNvPr>
        <xdr:cNvSpPr/>
      </xdr:nvSpPr>
      <xdr:spPr>
        <a:xfrm>
          <a:off x="18102600" y="74176920"/>
          <a:ext cx="360" cy="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127</xdr:row>
      <xdr:rowOff>181800</xdr:rowOff>
    </xdr:from>
    <xdr:to>
      <xdr:col>4</xdr:col>
      <xdr:colOff>305280</xdr:colOff>
      <xdr:row>127</xdr:row>
      <xdr:rowOff>182160</xdr:rowOff>
    </xdr:to>
    <xdr:sp macro="" textlink="">
      <xdr:nvSpPr>
        <xdr:cNvPr id="17" name="TextBox 25">
          <a:extLst>
            <a:ext uri="{FF2B5EF4-FFF2-40B4-BE49-F238E27FC236}">
              <a16:creationId xmlns:a16="http://schemas.microsoft.com/office/drawing/2014/main" id="{00000000-0008-0000-0100-000011000000}"/>
            </a:ext>
          </a:extLst>
        </xdr:cNvPr>
        <xdr:cNvSpPr/>
      </xdr:nvSpPr>
      <xdr:spPr>
        <a:xfrm>
          <a:off x="18102600" y="74176920"/>
          <a:ext cx="360" cy="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11</xdr:row>
      <xdr:rowOff>411120</xdr:rowOff>
    </xdr:from>
    <xdr:to>
      <xdr:col>4</xdr:col>
      <xdr:colOff>305280</xdr:colOff>
      <xdr:row>12</xdr:row>
      <xdr:rowOff>221400</xdr:rowOff>
    </xdr:to>
    <xdr:sp macro="" textlink="">
      <xdr:nvSpPr>
        <xdr:cNvPr id="18" name="TextBox 26">
          <a:extLst>
            <a:ext uri="{FF2B5EF4-FFF2-40B4-BE49-F238E27FC236}">
              <a16:creationId xmlns:a16="http://schemas.microsoft.com/office/drawing/2014/main" id="{00000000-0008-0000-0100-000012000000}"/>
            </a:ext>
          </a:extLst>
        </xdr:cNvPr>
        <xdr:cNvSpPr/>
      </xdr:nvSpPr>
      <xdr:spPr>
        <a:xfrm>
          <a:off x="18102600" y="6802560"/>
          <a:ext cx="360" cy="3913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117</xdr:row>
      <xdr:rowOff>49680</xdr:rowOff>
    </xdr:from>
    <xdr:to>
      <xdr:col>4</xdr:col>
      <xdr:colOff>305280</xdr:colOff>
      <xdr:row>117</xdr:row>
      <xdr:rowOff>167400</xdr:rowOff>
    </xdr:to>
    <xdr:sp macro="" textlink="">
      <xdr:nvSpPr>
        <xdr:cNvPr id="19" name="TextBox 1">
          <a:extLst>
            <a:ext uri="{FF2B5EF4-FFF2-40B4-BE49-F238E27FC236}">
              <a16:creationId xmlns:a16="http://schemas.microsoft.com/office/drawing/2014/main" id="{00000000-0008-0000-0100-000013000000}"/>
            </a:ext>
          </a:extLst>
        </xdr:cNvPr>
        <xdr:cNvSpPr/>
      </xdr:nvSpPr>
      <xdr:spPr>
        <a:xfrm>
          <a:off x="18102600" y="68234760"/>
          <a:ext cx="360" cy="1177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11</xdr:row>
      <xdr:rowOff>55440</xdr:rowOff>
    </xdr:from>
    <xdr:to>
      <xdr:col>4</xdr:col>
      <xdr:colOff>305280</xdr:colOff>
      <xdr:row>11</xdr:row>
      <xdr:rowOff>185040</xdr:rowOff>
    </xdr:to>
    <xdr:sp macro="" textlink="">
      <xdr:nvSpPr>
        <xdr:cNvPr id="20" name="TextBox 3">
          <a:extLst>
            <a:ext uri="{FF2B5EF4-FFF2-40B4-BE49-F238E27FC236}">
              <a16:creationId xmlns:a16="http://schemas.microsoft.com/office/drawing/2014/main" id="{00000000-0008-0000-0100-000014000000}"/>
            </a:ext>
          </a:extLst>
        </xdr:cNvPr>
        <xdr:cNvSpPr/>
      </xdr:nvSpPr>
      <xdr:spPr>
        <a:xfrm>
          <a:off x="18102600" y="6446880"/>
          <a:ext cx="360" cy="1296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11</xdr:row>
      <xdr:rowOff>55440</xdr:rowOff>
    </xdr:from>
    <xdr:to>
      <xdr:col>4</xdr:col>
      <xdr:colOff>305280</xdr:colOff>
      <xdr:row>11</xdr:row>
      <xdr:rowOff>185040</xdr:rowOff>
    </xdr:to>
    <xdr:sp macro="" textlink="">
      <xdr:nvSpPr>
        <xdr:cNvPr id="21" name="TextBox 2">
          <a:extLst>
            <a:ext uri="{FF2B5EF4-FFF2-40B4-BE49-F238E27FC236}">
              <a16:creationId xmlns:a16="http://schemas.microsoft.com/office/drawing/2014/main" id="{00000000-0008-0000-0100-000015000000}"/>
            </a:ext>
          </a:extLst>
        </xdr:cNvPr>
        <xdr:cNvSpPr/>
      </xdr:nvSpPr>
      <xdr:spPr>
        <a:xfrm>
          <a:off x="18102600" y="6446880"/>
          <a:ext cx="360" cy="1296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22" name="TextBox 33">
          <a:extLst>
            <a:ext uri="{FF2B5EF4-FFF2-40B4-BE49-F238E27FC236}">
              <a16:creationId xmlns:a16="http://schemas.microsoft.com/office/drawing/2014/main" id="{00000000-0008-0000-0100-000016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23" name="TextBox 34">
          <a:extLst>
            <a:ext uri="{FF2B5EF4-FFF2-40B4-BE49-F238E27FC236}">
              <a16:creationId xmlns:a16="http://schemas.microsoft.com/office/drawing/2014/main" id="{00000000-0008-0000-0100-000017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24" name="TextBox 35">
          <a:extLst>
            <a:ext uri="{FF2B5EF4-FFF2-40B4-BE49-F238E27FC236}">
              <a16:creationId xmlns:a16="http://schemas.microsoft.com/office/drawing/2014/main" id="{00000000-0008-0000-0100-000018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25" name="TextBox 36">
          <a:extLst>
            <a:ext uri="{FF2B5EF4-FFF2-40B4-BE49-F238E27FC236}">
              <a16:creationId xmlns:a16="http://schemas.microsoft.com/office/drawing/2014/main" id="{00000000-0008-0000-0100-000019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309600</xdr:rowOff>
    </xdr:to>
    <xdr:sp macro="" textlink="">
      <xdr:nvSpPr>
        <xdr:cNvPr id="26" name="TextBox 1">
          <a:extLst>
            <a:ext uri="{FF2B5EF4-FFF2-40B4-BE49-F238E27FC236}">
              <a16:creationId xmlns:a16="http://schemas.microsoft.com/office/drawing/2014/main" id="{00000000-0008-0000-0100-00001A000000}"/>
            </a:ext>
          </a:extLst>
        </xdr:cNvPr>
        <xdr:cNvSpPr/>
      </xdr:nvSpPr>
      <xdr:spPr>
        <a:xfrm>
          <a:off x="18102600" y="46415160"/>
          <a:ext cx="360" cy="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309600</xdr:rowOff>
    </xdr:to>
    <xdr:sp macro="" textlink="">
      <xdr:nvSpPr>
        <xdr:cNvPr id="27" name="TextBox 3">
          <a:extLst>
            <a:ext uri="{FF2B5EF4-FFF2-40B4-BE49-F238E27FC236}">
              <a16:creationId xmlns:a16="http://schemas.microsoft.com/office/drawing/2014/main" id="{00000000-0008-0000-0100-00001B000000}"/>
            </a:ext>
          </a:extLst>
        </xdr:cNvPr>
        <xdr:cNvSpPr/>
      </xdr:nvSpPr>
      <xdr:spPr>
        <a:xfrm>
          <a:off x="18102600" y="46415160"/>
          <a:ext cx="360" cy="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309600</xdr:rowOff>
    </xdr:to>
    <xdr:sp macro="" textlink="">
      <xdr:nvSpPr>
        <xdr:cNvPr id="28" name="TextBox 2">
          <a:extLst>
            <a:ext uri="{FF2B5EF4-FFF2-40B4-BE49-F238E27FC236}">
              <a16:creationId xmlns:a16="http://schemas.microsoft.com/office/drawing/2014/main" id="{00000000-0008-0000-0100-00001C000000}"/>
            </a:ext>
          </a:extLst>
        </xdr:cNvPr>
        <xdr:cNvSpPr/>
      </xdr:nvSpPr>
      <xdr:spPr>
        <a:xfrm>
          <a:off x="18102600" y="46415160"/>
          <a:ext cx="360" cy="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29" name="TextBox 40">
          <a:extLst>
            <a:ext uri="{FF2B5EF4-FFF2-40B4-BE49-F238E27FC236}">
              <a16:creationId xmlns:a16="http://schemas.microsoft.com/office/drawing/2014/main" id="{00000000-0008-0000-0100-00001D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30" name="TextBox 41">
          <a:extLst>
            <a:ext uri="{FF2B5EF4-FFF2-40B4-BE49-F238E27FC236}">
              <a16:creationId xmlns:a16="http://schemas.microsoft.com/office/drawing/2014/main" id="{00000000-0008-0000-0100-00001E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79</xdr:row>
      <xdr:rowOff>309240</xdr:rowOff>
    </xdr:from>
    <xdr:to>
      <xdr:col>4</xdr:col>
      <xdr:colOff>305280</xdr:colOff>
      <xdr:row>79</xdr:row>
      <xdr:rowOff>311040</xdr:rowOff>
    </xdr:to>
    <xdr:sp macro="" textlink="">
      <xdr:nvSpPr>
        <xdr:cNvPr id="31" name="TextBox 42">
          <a:extLst>
            <a:ext uri="{FF2B5EF4-FFF2-40B4-BE49-F238E27FC236}">
              <a16:creationId xmlns:a16="http://schemas.microsoft.com/office/drawing/2014/main" id="{00000000-0008-0000-0100-00001F000000}"/>
            </a:ext>
          </a:extLst>
        </xdr:cNvPr>
        <xdr:cNvSpPr/>
      </xdr:nvSpPr>
      <xdr:spPr>
        <a:xfrm>
          <a:off x="18102600" y="46415160"/>
          <a:ext cx="360" cy="1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10</xdr:row>
      <xdr:rowOff>544320</xdr:rowOff>
    </xdr:from>
    <xdr:to>
      <xdr:col>4</xdr:col>
      <xdr:colOff>305280</xdr:colOff>
      <xdr:row>11</xdr:row>
      <xdr:rowOff>128160</xdr:rowOff>
    </xdr:to>
    <xdr:sp macro="" textlink="">
      <xdr:nvSpPr>
        <xdr:cNvPr id="32" name="TextBox 43">
          <a:extLst>
            <a:ext uri="{FF2B5EF4-FFF2-40B4-BE49-F238E27FC236}">
              <a16:creationId xmlns:a16="http://schemas.microsoft.com/office/drawing/2014/main" id="{00000000-0008-0000-0100-000020000000}"/>
            </a:ext>
          </a:extLst>
        </xdr:cNvPr>
        <xdr:cNvSpPr/>
      </xdr:nvSpPr>
      <xdr:spPr>
        <a:xfrm>
          <a:off x="18102600" y="6354720"/>
          <a:ext cx="360" cy="1648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xdr:row>
      <xdr:rowOff>436320</xdr:rowOff>
    </xdr:from>
    <xdr:to>
      <xdr:col>4</xdr:col>
      <xdr:colOff>305280</xdr:colOff>
      <xdr:row>9</xdr:row>
      <xdr:rowOff>333285</xdr:rowOff>
    </xdr:to>
    <xdr:sp macro="" textlink="">
      <xdr:nvSpPr>
        <xdr:cNvPr id="33" name="TextBox 3">
          <a:extLst>
            <a:ext uri="{FF2B5EF4-FFF2-40B4-BE49-F238E27FC236}">
              <a16:creationId xmlns:a16="http://schemas.microsoft.com/office/drawing/2014/main" id="{00000000-0008-0000-0100-000021000000}"/>
            </a:ext>
          </a:extLst>
        </xdr:cNvPr>
        <xdr:cNvSpPr/>
      </xdr:nvSpPr>
      <xdr:spPr>
        <a:xfrm>
          <a:off x="18102600" y="5665680"/>
          <a:ext cx="360" cy="36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xdr:row>
      <xdr:rowOff>436320</xdr:rowOff>
    </xdr:from>
    <xdr:to>
      <xdr:col>4</xdr:col>
      <xdr:colOff>305280</xdr:colOff>
      <xdr:row>9</xdr:row>
      <xdr:rowOff>333285</xdr:rowOff>
    </xdr:to>
    <xdr:sp macro="" textlink="">
      <xdr:nvSpPr>
        <xdr:cNvPr id="34" name="TextBox 2">
          <a:extLst>
            <a:ext uri="{FF2B5EF4-FFF2-40B4-BE49-F238E27FC236}">
              <a16:creationId xmlns:a16="http://schemas.microsoft.com/office/drawing/2014/main" id="{00000000-0008-0000-0100-000022000000}"/>
            </a:ext>
          </a:extLst>
        </xdr:cNvPr>
        <xdr:cNvSpPr/>
      </xdr:nvSpPr>
      <xdr:spPr>
        <a:xfrm>
          <a:off x="18102600" y="5665680"/>
          <a:ext cx="360" cy="363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9</xdr:row>
      <xdr:rowOff>344160</xdr:rowOff>
    </xdr:from>
    <xdr:to>
      <xdr:col>4</xdr:col>
      <xdr:colOff>305280</xdr:colOff>
      <xdr:row>9</xdr:row>
      <xdr:rowOff>337665</xdr:rowOff>
    </xdr:to>
    <xdr:sp macro="" textlink="">
      <xdr:nvSpPr>
        <xdr:cNvPr id="35" name="TextBox 63">
          <a:extLst>
            <a:ext uri="{FF2B5EF4-FFF2-40B4-BE49-F238E27FC236}">
              <a16:creationId xmlns:a16="http://schemas.microsoft.com/office/drawing/2014/main" id="{00000000-0008-0000-0100-000023000000}"/>
            </a:ext>
          </a:extLst>
        </xdr:cNvPr>
        <xdr:cNvSpPr/>
      </xdr:nvSpPr>
      <xdr:spPr>
        <a:xfrm>
          <a:off x="18102600" y="5573520"/>
          <a:ext cx="360" cy="1303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10</xdr:row>
      <xdr:rowOff>77400</xdr:rowOff>
    </xdr:from>
    <xdr:to>
      <xdr:col>4</xdr:col>
      <xdr:colOff>305280</xdr:colOff>
      <xdr:row>10</xdr:row>
      <xdr:rowOff>240120</xdr:rowOff>
    </xdr:to>
    <xdr:sp macro="" textlink="">
      <xdr:nvSpPr>
        <xdr:cNvPr id="36" name="TextBox 64">
          <a:extLst>
            <a:ext uri="{FF2B5EF4-FFF2-40B4-BE49-F238E27FC236}">
              <a16:creationId xmlns:a16="http://schemas.microsoft.com/office/drawing/2014/main" id="{00000000-0008-0000-0100-000024000000}"/>
            </a:ext>
          </a:extLst>
        </xdr:cNvPr>
        <xdr:cNvSpPr/>
      </xdr:nvSpPr>
      <xdr:spPr>
        <a:xfrm>
          <a:off x="18102600" y="5887800"/>
          <a:ext cx="360" cy="1627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304920</xdr:colOff>
      <xdr:row>10</xdr:row>
      <xdr:rowOff>77400</xdr:rowOff>
    </xdr:from>
    <xdr:to>
      <xdr:col>4</xdr:col>
      <xdr:colOff>305280</xdr:colOff>
      <xdr:row>10</xdr:row>
      <xdr:rowOff>240120</xdr:rowOff>
    </xdr:to>
    <xdr:sp macro="" textlink="">
      <xdr:nvSpPr>
        <xdr:cNvPr id="37" name="TextBox 65">
          <a:extLst>
            <a:ext uri="{FF2B5EF4-FFF2-40B4-BE49-F238E27FC236}">
              <a16:creationId xmlns:a16="http://schemas.microsoft.com/office/drawing/2014/main" id="{00000000-0008-0000-0100-000025000000}"/>
            </a:ext>
          </a:extLst>
        </xdr:cNvPr>
        <xdr:cNvSpPr/>
      </xdr:nvSpPr>
      <xdr:spPr>
        <a:xfrm>
          <a:off x="18102600" y="5887800"/>
          <a:ext cx="360" cy="1627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2013 - 2022 테마">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D2:AI391"/>
  <sheetViews>
    <sheetView showGridLines="0" view="pageBreakPreview" topLeftCell="E10" zoomScale="45" zoomScaleNormal="70" zoomScalePageLayoutView="45" workbookViewId="0">
      <selection activeCell="AE10" sqref="AE10"/>
    </sheetView>
  </sheetViews>
  <sheetFormatPr defaultColWidth="8.75" defaultRowHeight="17.25" customHeight="1"/>
  <cols>
    <col min="8" max="8" width="8.75" style="3"/>
  </cols>
  <sheetData>
    <row r="2" spans="8:35" ht="16.5">
      <c r="Z2" s="129"/>
      <c r="AA2" s="128"/>
      <c r="AB2" s="128"/>
      <c r="AC2" s="128"/>
      <c r="AD2" s="128"/>
      <c r="AE2" s="128"/>
      <c r="AF2" s="128"/>
      <c r="AG2" s="128"/>
      <c r="AH2" s="128"/>
      <c r="AI2" s="128"/>
    </row>
    <row r="3" spans="8:35" ht="16.5">
      <c r="Z3" s="129"/>
      <c r="AA3" s="128"/>
      <c r="AB3" s="128"/>
      <c r="AC3" s="128"/>
      <c r="AD3" s="128"/>
      <c r="AE3" s="128"/>
      <c r="AF3" s="128"/>
      <c r="AG3" s="128"/>
      <c r="AH3" s="128"/>
      <c r="AI3" s="128"/>
    </row>
    <row r="4" spans="8:35" ht="16.5">
      <c r="Z4" s="126"/>
      <c r="AA4" s="130"/>
      <c r="AB4" s="130"/>
      <c r="AC4" s="130"/>
      <c r="AD4" s="130"/>
      <c r="AE4" s="128"/>
      <c r="AF4" s="128"/>
      <c r="AG4" s="128"/>
      <c r="AH4" s="128"/>
      <c r="AI4" s="128"/>
    </row>
    <row r="5" spans="8:35" ht="16.5">
      <c r="Z5" s="126"/>
      <c r="AA5" s="130"/>
      <c r="AB5" s="130"/>
      <c r="AC5" s="130"/>
      <c r="AD5" s="130"/>
      <c r="AE5" s="128"/>
      <c r="AF5" s="128"/>
      <c r="AG5" s="128"/>
      <c r="AH5" s="128"/>
      <c r="AI5" s="128"/>
    </row>
    <row r="6" spans="8:35" ht="16.5">
      <c r="Z6" s="126"/>
      <c r="AA6" s="127"/>
      <c r="AB6" s="127"/>
      <c r="AC6" s="127"/>
      <c r="AD6" s="127"/>
      <c r="AE6" s="128"/>
      <c r="AF6" s="128"/>
      <c r="AG6" s="128"/>
      <c r="AH6" s="128"/>
      <c r="AI6" s="128"/>
    </row>
    <row r="7" spans="8:35" ht="16.5">
      <c r="Z7" s="126"/>
      <c r="AA7" s="127"/>
      <c r="AB7" s="127"/>
      <c r="AC7" s="127"/>
      <c r="AD7" s="127"/>
      <c r="AE7" s="128"/>
      <c r="AF7" s="128"/>
      <c r="AG7" s="128"/>
      <c r="AH7" s="128"/>
      <c r="AI7" s="128"/>
    </row>
    <row r="8" spans="8:35" ht="16.5">
      <c r="Z8" s="126"/>
      <c r="AA8" s="127"/>
      <c r="AB8" s="127"/>
      <c r="AC8" s="127"/>
      <c r="AD8" s="127"/>
      <c r="AE8" s="128"/>
      <c r="AF8" s="128"/>
      <c r="AG8" s="128"/>
      <c r="AH8" s="128"/>
      <c r="AI8" s="128"/>
    </row>
    <row r="9" spans="8:35" ht="16.5">
      <c r="Z9" s="126"/>
      <c r="AA9" s="127"/>
      <c r="AB9" s="127"/>
      <c r="AC9" s="127"/>
      <c r="AD9" s="127"/>
      <c r="AE9" s="128"/>
      <c r="AF9" s="128"/>
      <c r="AG9" s="128"/>
      <c r="AH9" s="128"/>
      <c r="AI9" s="128"/>
    </row>
    <row r="10" spans="8:35" ht="16.5">
      <c r="Z10" s="126"/>
      <c r="AA10" s="127"/>
      <c r="AB10" s="127"/>
      <c r="AC10" s="127"/>
      <c r="AD10" s="127"/>
      <c r="AE10" s="128"/>
      <c r="AF10" s="128"/>
      <c r="AG10" s="128"/>
      <c r="AH10" s="128"/>
      <c r="AI10" s="128"/>
    </row>
    <row r="11" spans="8:35" ht="16.5">
      <c r="Z11" s="126"/>
      <c r="AA11" s="127"/>
      <c r="AB11" s="127"/>
      <c r="AC11" s="127"/>
      <c r="AD11" s="127"/>
      <c r="AE11" s="128"/>
      <c r="AF11" s="128"/>
      <c r="AG11" s="128"/>
      <c r="AH11" s="128"/>
      <c r="AI11" s="128"/>
    </row>
    <row r="12" spans="8:35" ht="16.5">
      <c r="H12" s="4"/>
      <c r="Z12" s="126"/>
      <c r="AA12" s="127"/>
      <c r="AB12" s="127"/>
      <c r="AC12" s="127"/>
      <c r="AD12" s="127"/>
      <c r="AE12" s="128"/>
      <c r="AF12" s="128"/>
      <c r="AG12" s="128"/>
      <c r="AH12" s="128"/>
      <c r="AI12" s="128"/>
    </row>
    <row r="13" spans="8:35" ht="16.5">
      <c r="H13" s="5"/>
      <c r="Z13" s="126"/>
      <c r="AA13" s="127"/>
      <c r="AB13" s="127"/>
      <c r="AC13" s="127"/>
      <c r="AD13" s="127"/>
      <c r="AE13" s="128"/>
      <c r="AF13" s="128"/>
      <c r="AG13" s="128"/>
      <c r="AH13" s="128"/>
      <c r="AI13" s="128"/>
    </row>
    <row r="14" spans="8:35" ht="16.5">
      <c r="H14" s="5"/>
      <c r="Z14" s="126"/>
      <c r="AA14" s="127"/>
      <c r="AB14" s="127"/>
      <c r="AC14" s="127"/>
      <c r="AD14" s="127"/>
      <c r="AE14" s="128"/>
      <c r="AF14" s="128"/>
      <c r="AG14" s="128"/>
      <c r="AH14" s="128"/>
      <c r="AI14" s="128"/>
    </row>
    <row r="15" spans="8:35" ht="16.5">
      <c r="H15" s="5"/>
      <c r="Z15" s="126"/>
      <c r="AA15" s="127"/>
      <c r="AB15" s="127"/>
      <c r="AC15" s="127"/>
      <c r="AD15" s="127"/>
      <c r="AE15" s="128"/>
      <c r="AF15" s="128"/>
      <c r="AG15" s="128"/>
      <c r="AH15" s="128"/>
      <c r="AI15" s="128"/>
    </row>
    <row r="16" spans="8:35" ht="16.5">
      <c r="H16" s="6"/>
      <c r="Z16" s="126"/>
      <c r="AA16" s="127"/>
      <c r="AB16" s="127"/>
      <c r="AC16" s="127"/>
      <c r="AD16" s="127"/>
      <c r="AE16" s="128"/>
      <c r="AF16" s="128"/>
      <c r="AG16" s="128"/>
      <c r="AH16" s="128"/>
      <c r="AI16" s="128"/>
    </row>
    <row r="17" spans="5:35" ht="16.5">
      <c r="H17" s="5"/>
      <c r="Z17" s="126"/>
      <c r="AA17" s="127"/>
      <c r="AB17" s="127"/>
      <c r="AC17" s="127"/>
      <c r="AD17" s="127"/>
      <c r="AE17" s="128"/>
      <c r="AF17" s="128"/>
      <c r="AG17" s="128"/>
      <c r="AH17" s="128"/>
      <c r="AI17" s="128"/>
    </row>
    <row r="18" spans="5:35" ht="16.5">
      <c r="H18" s="5"/>
      <c r="Z18" s="126"/>
      <c r="AA18" s="127"/>
      <c r="AB18" s="127"/>
      <c r="AC18" s="127"/>
      <c r="AD18" s="127"/>
      <c r="AE18" s="128"/>
      <c r="AF18" s="128"/>
      <c r="AG18" s="128"/>
      <c r="AH18" s="128"/>
      <c r="AI18" s="128"/>
    </row>
    <row r="19" spans="5:35" ht="16.5">
      <c r="Z19" s="126"/>
      <c r="AA19" s="127"/>
      <c r="AB19" s="127"/>
      <c r="AC19" s="127"/>
      <c r="AD19" s="127"/>
      <c r="AE19" s="128"/>
      <c r="AF19" s="128"/>
      <c r="AG19" s="128"/>
      <c r="AH19" s="128"/>
      <c r="AI19" s="128"/>
    </row>
    <row r="20" spans="5:35" ht="16.5">
      <c r="Z20" s="126"/>
      <c r="AA20" s="127"/>
      <c r="AB20" s="127"/>
      <c r="AC20" s="127"/>
      <c r="AD20" s="127"/>
      <c r="AE20" s="128"/>
      <c r="AF20" s="128"/>
      <c r="AG20" s="128"/>
      <c r="AH20" s="128"/>
      <c r="AI20" s="128"/>
    </row>
    <row r="21" spans="5:35" ht="16.5">
      <c r="Z21" s="126"/>
      <c r="AA21" s="127"/>
      <c r="AB21" s="127"/>
      <c r="AC21" s="127"/>
      <c r="AD21" s="127"/>
      <c r="AE21" s="128"/>
      <c r="AF21" s="128"/>
      <c r="AG21" s="128"/>
      <c r="AH21" s="128"/>
      <c r="AI21" s="128"/>
    </row>
    <row r="22" spans="5:35" ht="17.25" customHeight="1">
      <c r="Z22" s="126"/>
      <c r="AA22" s="127"/>
      <c r="AB22" s="127"/>
      <c r="AC22" s="127"/>
      <c r="AD22" s="127"/>
      <c r="AE22" s="128"/>
      <c r="AF22" s="128"/>
      <c r="AG22" s="128"/>
      <c r="AH22" s="128"/>
      <c r="AI22" s="128"/>
    </row>
    <row r="23" spans="5:35" ht="17.25" customHeight="1">
      <c r="Z23" s="126"/>
      <c r="AA23" s="127"/>
      <c r="AB23" s="127"/>
      <c r="AC23" s="127"/>
      <c r="AD23" s="127"/>
      <c r="AE23" s="128"/>
      <c r="AF23" s="128"/>
      <c r="AG23" s="128"/>
      <c r="AH23" s="128"/>
      <c r="AI23" s="128"/>
    </row>
    <row r="24" spans="5:35" ht="17.25" customHeight="1">
      <c r="Z24" s="126"/>
      <c r="AA24" s="127"/>
      <c r="AB24" s="127"/>
      <c r="AC24" s="127"/>
      <c r="AD24" s="127"/>
      <c r="AE24" s="128"/>
      <c r="AF24" s="128"/>
      <c r="AG24" s="128"/>
      <c r="AH24" s="128"/>
      <c r="AI24" s="128"/>
    </row>
    <row r="25" spans="5:35" ht="17.25" customHeight="1">
      <c r="Z25" s="126"/>
      <c r="AA25" s="127"/>
      <c r="AB25" s="127"/>
      <c r="AC25" s="127"/>
      <c r="AD25" s="127"/>
      <c r="AE25" s="128"/>
      <c r="AF25" s="128"/>
      <c r="AG25" s="128"/>
      <c r="AH25" s="128"/>
      <c r="AI25" s="128"/>
    </row>
    <row r="26" spans="5:35" ht="16.5">
      <c r="E26" s="7"/>
      <c r="G26" s="7"/>
      <c r="H26" s="6"/>
      <c r="Z26" s="126"/>
      <c r="AA26" s="127"/>
      <c r="AB26" s="127"/>
      <c r="AC26" s="127"/>
      <c r="AD26" s="127"/>
      <c r="AE26" s="128"/>
      <c r="AF26" s="128"/>
      <c r="AG26" s="128"/>
      <c r="AH26" s="128"/>
      <c r="AI26" s="128"/>
    </row>
    <row r="27" spans="5:35" ht="16.5">
      <c r="E27" s="7"/>
      <c r="G27" s="7"/>
      <c r="H27" s="6"/>
      <c r="Z27" s="126"/>
      <c r="AA27" s="127"/>
      <c r="AB27" s="127"/>
      <c r="AC27" s="127"/>
      <c r="AD27" s="127"/>
      <c r="AE27" s="128"/>
      <c r="AF27" s="128"/>
      <c r="AG27" s="128"/>
      <c r="AH27" s="128"/>
      <c r="AI27" s="128"/>
    </row>
    <row r="28" spans="5:35" ht="16.5">
      <c r="H28" s="6"/>
      <c r="Z28" s="126"/>
      <c r="AA28" s="127"/>
      <c r="AB28" s="127"/>
      <c r="AC28" s="127"/>
      <c r="AD28" s="127"/>
      <c r="AE28" s="128"/>
      <c r="AF28" s="128"/>
      <c r="AG28" s="128"/>
      <c r="AH28" s="128"/>
      <c r="AI28" s="128"/>
    </row>
    <row r="29" spans="5:35" ht="16.5">
      <c r="H29" s="6"/>
      <c r="Z29" s="126"/>
      <c r="AA29" s="127"/>
      <c r="AB29" s="127"/>
      <c r="AC29" s="127"/>
      <c r="AD29" s="127"/>
      <c r="AE29" s="128"/>
      <c r="AF29" s="128"/>
      <c r="AG29" s="128"/>
      <c r="AH29" s="128"/>
      <c r="AI29" s="128"/>
    </row>
    <row r="30" spans="5:35" ht="16.5">
      <c r="Z30" s="126"/>
      <c r="AA30" s="127"/>
      <c r="AB30" s="127"/>
      <c r="AC30" s="127"/>
      <c r="AD30" s="127"/>
      <c r="AE30" s="128"/>
      <c r="AF30" s="128"/>
      <c r="AG30" s="128"/>
      <c r="AH30" s="128"/>
      <c r="AI30" s="128"/>
    </row>
    <row r="31" spans="5:35" ht="16.5">
      <c r="H31" s="6"/>
      <c r="Z31" s="126"/>
      <c r="AA31" s="127"/>
      <c r="AB31" s="127"/>
      <c r="AC31" s="127"/>
      <c r="AD31" s="127"/>
      <c r="AE31" s="128"/>
      <c r="AF31" s="128"/>
      <c r="AG31" s="128"/>
      <c r="AH31" s="128"/>
      <c r="AI31" s="128"/>
    </row>
    <row r="32" spans="5:35" ht="16.5">
      <c r="Z32" s="126"/>
      <c r="AA32" s="127"/>
      <c r="AB32" s="127"/>
      <c r="AC32" s="127"/>
      <c r="AD32" s="127"/>
      <c r="AE32" s="128"/>
      <c r="AF32" s="128"/>
      <c r="AG32" s="128"/>
      <c r="AH32" s="128"/>
      <c r="AI32" s="128"/>
    </row>
    <row r="33" spans="4:35" ht="16.5">
      <c r="Z33" s="126"/>
      <c r="AA33" s="127"/>
      <c r="AB33" s="127"/>
      <c r="AC33" s="127"/>
      <c r="AD33" s="127"/>
      <c r="AE33" s="128"/>
      <c r="AF33" s="128"/>
      <c r="AG33" s="128"/>
      <c r="AH33" s="128"/>
      <c r="AI33" s="128"/>
    </row>
    <row r="34" spans="4:35" ht="16.5">
      <c r="Z34" s="126"/>
      <c r="AA34" s="127"/>
      <c r="AB34" s="127"/>
      <c r="AC34" s="127"/>
      <c r="AD34" s="127"/>
      <c r="AE34" s="128"/>
      <c r="AF34" s="128"/>
      <c r="AG34" s="128"/>
      <c r="AH34" s="128"/>
      <c r="AI34" s="128"/>
    </row>
    <row r="35" spans="4:35" ht="16.5">
      <c r="Z35" s="126"/>
      <c r="AA35" s="127"/>
      <c r="AB35" s="127"/>
      <c r="AC35" s="127"/>
      <c r="AD35" s="127"/>
      <c r="AE35" s="128"/>
      <c r="AF35" s="128"/>
      <c r="AG35" s="128"/>
      <c r="AH35" s="128"/>
      <c r="AI35" s="128"/>
    </row>
    <row r="36" spans="4:35" ht="16.5">
      <c r="Z36" s="126"/>
      <c r="AA36" s="127"/>
      <c r="AB36" s="127"/>
      <c r="AC36" s="127"/>
      <c r="AD36" s="127"/>
      <c r="AE36" s="128"/>
      <c r="AF36" s="128"/>
      <c r="AG36" s="128"/>
      <c r="AH36" s="128"/>
      <c r="AI36" s="128"/>
    </row>
    <row r="37" spans="4:35" ht="16.5">
      <c r="Z37" s="126"/>
      <c r="AA37" s="127"/>
      <c r="AB37" s="127"/>
      <c r="AC37" s="127"/>
      <c r="AD37" s="127"/>
      <c r="AE37" s="128"/>
      <c r="AF37" s="128"/>
      <c r="AG37" s="128"/>
      <c r="AH37" s="128"/>
      <c r="AI37" s="128"/>
    </row>
    <row r="38" spans="4:35" ht="16.5">
      <c r="D38" s="8"/>
    </row>
    <row r="39" spans="4:35" ht="16.5">
      <c r="D39" s="8"/>
    </row>
    <row r="42" spans="4:35" ht="16.5">
      <c r="H42" s="9"/>
    </row>
    <row r="53" spans="8:8" ht="16.5">
      <c r="H53" s="10"/>
    </row>
    <row r="71" spans="8:8" ht="16.5">
      <c r="H71" s="6"/>
    </row>
    <row r="81" spans="5:8" ht="16.5">
      <c r="E81" s="11"/>
      <c r="H81" s="12"/>
    </row>
    <row r="87" spans="5:8" ht="16.5">
      <c r="H87" s="12"/>
    </row>
    <row r="102" spans="4:4" ht="16.5">
      <c r="D102" s="13"/>
    </row>
    <row r="103" spans="4:4" ht="16.5">
      <c r="D103" s="13"/>
    </row>
    <row r="104" spans="4:4" ht="16.5">
      <c r="D104" s="13"/>
    </row>
    <row r="129" spans="4:7" ht="16.5">
      <c r="D129" s="8"/>
    </row>
    <row r="144" spans="4:7" ht="16.5">
      <c r="E144" s="14"/>
      <c r="G144" s="14"/>
    </row>
    <row r="145" spans="4:11" ht="16.5">
      <c r="E145" s="14"/>
      <c r="G145" s="14"/>
      <c r="H145" s="15"/>
    </row>
    <row r="146" spans="4:11" ht="16.5">
      <c r="H146" s="16"/>
    </row>
    <row r="147" spans="4:11" ht="16.5">
      <c r="H147" s="17"/>
    </row>
    <row r="154" spans="4:11" ht="16.5">
      <c r="D154" s="8"/>
      <c r="G154" s="11"/>
      <c r="K154" s="18"/>
    </row>
    <row r="155" spans="4:11" ht="16.5">
      <c r="D155" s="8"/>
      <c r="K155" s="18"/>
    </row>
    <row r="156" spans="4:11" ht="16.5">
      <c r="D156" s="8"/>
      <c r="G156" s="11"/>
      <c r="K156" s="18"/>
    </row>
    <row r="157" spans="4:11" ht="16.5">
      <c r="D157" s="8"/>
      <c r="K157" s="18"/>
    </row>
    <row r="158" spans="4:11" ht="16.5">
      <c r="D158" s="8"/>
      <c r="G158" s="11"/>
      <c r="H158" s="5"/>
      <c r="K158" s="18"/>
    </row>
    <row r="159" spans="4:11" ht="16.5">
      <c r="D159" s="8"/>
      <c r="K159" s="18"/>
    </row>
    <row r="160" spans="4:11" ht="16.5">
      <c r="D160" s="8"/>
      <c r="G160" s="11"/>
      <c r="K160" s="18"/>
    </row>
    <row r="161" spans="4:11" ht="16.5">
      <c r="D161" s="8"/>
      <c r="K161" s="18"/>
    </row>
    <row r="162" spans="4:11" ht="16.5">
      <c r="D162" s="13"/>
    </row>
    <row r="163" spans="4:11" ht="16.5">
      <c r="D163" s="13"/>
    </row>
    <row r="164" spans="4:11" ht="16.5">
      <c r="D164" s="18"/>
    </row>
    <row r="165" spans="4:11" ht="16.5">
      <c r="D165" s="8"/>
    </row>
    <row r="170" spans="4:11" ht="16.5">
      <c r="D170" s="8"/>
    </row>
    <row r="186" spans="11:11" ht="16.5">
      <c r="K186" s="19"/>
    </row>
    <row r="205" spans="5:8" ht="16.5">
      <c r="E205" s="7"/>
    </row>
    <row r="206" spans="5:8" ht="16.5">
      <c r="G206" s="7"/>
      <c r="H206" s="6"/>
    </row>
    <row r="209" spans="4:8" ht="16.5">
      <c r="G209" s="11"/>
      <c r="H209" s="5"/>
    </row>
    <row r="210" spans="4:8" ht="16.5">
      <c r="G210" s="11"/>
      <c r="H210" s="5"/>
    </row>
    <row r="211" spans="4:8" ht="16.5">
      <c r="G211" s="11"/>
      <c r="H211" s="5"/>
    </row>
    <row r="212" spans="4:8" ht="16.5">
      <c r="G212" s="11"/>
      <c r="H212" s="5"/>
    </row>
    <row r="213" spans="4:8" ht="16.5">
      <c r="G213" s="11"/>
      <c r="H213" s="5"/>
    </row>
    <row r="214" spans="4:8" ht="16.5">
      <c r="G214" s="11"/>
      <c r="H214" s="5"/>
    </row>
    <row r="215" spans="4:8" ht="16.5">
      <c r="G215" s="11"/>
      <c r="H215" s="5"/>
    </row>
    <row r="216" spans="4:8" ht="16.5">
      <c r="G216" s="11"/>
      <c r="H216" s="5"/>
    </row>
    <row r="218" spans="4:8" ht="16.5">
      <c r="G218" s="20"/>
    </row>
    <row r="219" spans="4:8" ht="16.5">
      <c r="G219" s="20"/>
    </row>
    <row r="220" spans="4:8" ht="16.5">
      <c r="G220" s="20"/>
    </row>
    <row r="222" spans="4:8" ht="16.5">
      <c r="G222" s="20"/>
      <c r="H222" s="4"/>
    </row>
    <row r="223" spans="4:8" ht="16.5">
      <c r="D223" s="18"/>
    </row>
    <row r="224" spans="4:8" ht="16.5">
      <c r="D224" s="18"/>
    </row>
    <row r="225" spans="4:11" ht="16.5">
      <c r="D225" s="18"/>
    </row>
    <row r="226" spans="4:11" ht="16.5"/>
    <row r="227" spans="4:11" ht="16.5"/>
    <row r="228" spans="4:11" ht="16.5"/>
    <row r="229" spans="4:11" ht="16.5">
      <c r="H229" s="10"/>
    </row>
    <row r="235" spans="4:11" ht="16.5">
      <c r="K235" s="19"/>
    </row>
    <row r="236" spans="4:11" ht="16.5">
      <c r="K236" s="19"/>
    </row>
    <row r="239" spans="4:11" ht="16.5">
      <c r="H239" s="6"/>
    </row>
    <row r="244" spans="5:7" ht="16.5">
      <c r="G244" s="20"/>
    </row>
    <row r="245" spans="5:7" ht="16.5">
      <c r="G245" s="20"/>
    </row>
    <row r="249" spans="5:7" ht="16.5">
      <c r="G249" s="20"/>
    </row>
    <row r="251" spans="5:7" ht="16.5">
      <c r="E251" s="11"/>
      <c r="G251" s="11"/>
    </row>
    <row r="261" spans="4:8" ht="16.5">
      <c r="D261" s="21"/>
      <c r="H261" s="6"/>
    </row>
    <row r="266" spans="4:8" ht="16.5">
      <c r="E266" s="11"/>
      <c r="F266" s="11"/>
      <c r="G266" s="11"/>
    </row>
    <row r="267" spans="4:8" ht="16.5">
      <c r="E267" s="11"/>
      <c r="F267" s="11"/>
      <c r="G267" s="11"/>
    </row>
    <row r="268" spans="4:8" ht="16.5">
      <c r="E268" s="11"/>
      <c r="F268" s="11"/>
      <c r="G268" s="11"/>
    </row>
    <row r="269" spans="4:8" ht="16.5">
      <c r="E269" s="11"/>
      <c r="F269" s="11"/>
      <c r="G269" s="11"/>
    </row>
    <row r="270" spans="4:8" ht="16.5">
      <c r="H270" s="6"/>
    </row>
    <row r="271" spans="4:8" ht="16.5">
      <c r="H271" s="6"/>
    </row>
    <row r="272" spans="4:8" ht="16.5">
      <c r="H272" s="6"/>
    </row>
    <row r="273" spans="5:8" ht="16.5">
      <c r="H273" s="6"/>
    </row>
    <row r="274" spans="5:8" ht="16.5">
      <c r="H274" s="6"/>
    </row>
    <row r="275" spans="5:8" ht="16.5">
      <c r="H275" s="6"/>
    </row>
    <row r="277" spans="5:8" ht="16.5">
      <c r="H277" s="6"/>
    </row>
    <row r="278" spans="5:8" ht="16.5">
      <c r="E278" s="11"/>
      <c r="F278" s="11"/>
      <c r="G278" s="11"/>
    </row>
    <row r="279" spans="5:8" ht="16.5">
      <c r="E279" s="11"/>
      <c r="F279" s="11"/>
      <c r="G279" s="11"/>
    </row>
    <row r="280" spans="5:8" ht="16.5">
      <c r="G280" s="11"/>
      <c r="H280" s="5"/>
    </row>
    <row r="281" spans="5:8" ht="16.5">
      <c r="G281" s="11"/>
      <c r="H281" s="5"/>
    </row>
    <row r="282" spans="5:8" ht="16.5">
      <c r="G282" s="11"/>
      <c r="H282" s="5"/>
    </row>
    <row r="283" spans="5:8" ht="16.5">
      <c r="G283" s="11"/>
      <c r="H283" s="5"/>
    </row>
    <row r="284" spans="5:8" ht="16.5">
      <c r="G284" s="11"/>
      <c r="H284" s="5"/>
    </row>
    <row r="285" spans="5:8" ht="16.5">
      <c r="G285" s="11"/>
      <c r="H285" s="5"/>
    </row>
    <row r="286" spans="5:8" ht="16.5">
      <c r="G286" s="11"/>
      <c r="H286" s="5"/>
    </row>
    <row r="287" spans="5:8" ht="16.5">
      <c r="G287" s="11"/>
      <c r="H287" s="5"/>
    </row>
    <row r="288" spans="5:8" ht="16.5">
      <c r="G288" s="11"/>
      <c r="H288" s="5"/>
    </row>
    <row r="289" spans="7:8" ht="16.5">
      <c r="G289" s="11"/>
      <c r="H289" s="5"/>
    </row>
    <row r="294" spans="7:8" ht="16.5">
      <c r="H294" s="6"/>
    </row>
    <row r="314" spans="7:11" ht="16.5">
      <c r="G314" s="11"/>
      <c r="H314" s="5"/>
      <c r="K314" s="21"/>
    </row>
    <row r="315" spans="7:11" ht="16.5">
      <c r="G315" s="11"/>
      <c r="H315" s="5"/>
      <c r="K315" s="21"/>
    </row>
    <row r="316" spans="7:11" ht="16.5">
      <c r="G316" s="11"/>
      <c r="H316" s="5"/>
      <c r="K316" s="21"/>
    </row>
    <row r="317" spans="7:11" ht="16.5">
      <c r="G317" s="11"/>
      <c r="H317" s="5"/>
      <c r="K317" s="21"/>
    </row>
    <row r="318" spans="7:11" ht="16.5">
      <c r="G318" s="11"/>
      <c r="H318" s="5"/>
      <c r="K318" s="21"/>
    </row>
    <row r="319" spans="7:11" ht="16.5">
      <c r="G319" s="11"/>
      <c r="H319" s="5"/>
      <c r="K319" s="21"/>
    </row>
    <row r="320" spans="7:11" ht="16.5">
      <c r="G320" s="11"/>
      <c r="H320" s="5"/>
      <c r="K320" s="21"/>
    </row>
    <row r="321" spans="4:11" ht="16.5">
      <c r="G321" s="11"/>
      <c r="H321" s="5"/>
      <c r="K321" s="21"/>
    </row>
    <row r="322" spans="4:11" ht="16.5">
      <c r="D322" s="19"/>
    </row>
    <row r="323" spans="4:11" ht="16.5">
      <c r="D323" s="19"/>
    </row>
    <row r="324" spans="4:11" ht="16.5">
      <c r="D324" s="19"/>
    </row>
    <row r="325" spans="4:11" ht="16.5">
      <c r="D325" s="19"/>
    </row>
    <row r="326" spans="4:11" ht="16.5">
      <c r="D326" s="19"/>
      <c r="G326" s="11"/>
      <c r="H326" s="5"/>
      <c r="K326" s="19"/>
    </row>
    <row r="327" spans="4:11" ht="16.5">
      <c r="D327" s="19"/>
      <c r="G327" s="11"/>
      <c r="H327" s="5"/>
      <c r="K327" s="19"/>
    </row>
    <row r="328" spans="4:11" ht="16.5">
      <c r="D328" s="19"/>
      <c r="G328" s="11"/>
      <c r="H328" s="5"/>
      <c r="K328" s="19"/>
    </row>
    <row r="329" spans="4:11" ht="16.5">
      <c r="D329" s="19"/>
      <c r="G329" s="11"/>
      <c r="H329" s="5"/>
      <c r="K329" s="19"/>
    </row>
    <row r="330" spans="4:11" ht="16.5">
      <c r="D330" s="19"/>
    </row>
    <row r="331" spans="4:11" ht="16.5">
      <c r="D331" s="19"/>
    </row>
    <row r="332" spans="4:11" ht="16.5">
      <c r="D332" s="19"/>
    </row>
    <row r="333" spans="4:11" ht="16.5">
      <c r="D333" s="19"/>
    </row>
    <row r="334" spans="4:11" ht="16.5">
      <c r="D334" s="19"/>
      <c r="G334" s="11"/>
      <c r="H334" s="5"/>
    </row>
    <row r="335" spans="4:11" ht="16.5">
      <c r="D335" s="19"/>
      <c r="G335" s="11"/>
      <c r="H335" s="5"/>
    </row>
    <row r="336" spans="4:11" ht="16.5">
      <c r="D336" s="19"/>
      <c r="G336" s="11"/>
      <c r="H336" s="5"/>
    </row>
    <row r="337" spans="4:8" ht="16.5">
      <c r="D337" s="19"/>
      <c r="G337" s="11"/>
      <c r="H337" s="5"/>
    </row>
    <row r="350" spans="4:8" ht="16.5">
      <c r="E350" s="11"/>
      <c r="H350" s="5"/>
    </row>
    <row r="351" spans="4:8" ht="16.5">
      <c r="E351" s="11"/>
      <c r="H351" s="5"/>
    </row>
    <row r="352" spans="4:8" ht="16.5">
      <c r="E352" s="11"/>
      <c r="G352" s="11"/>
      <c r="H352" s="5"/>
    </row>
    <row r="353" spans="5:8" ht="16.5">
      <c r="E353" s="11"/>
      <c r="G353" s="11"/>
      <c r="H353" s="5"/>
    </row>
    <row r="354" spans="5:8" ht="16.5">
      <c r="E354" s="11"/>
      <c r="G354" s="11"/>
      <c r="H354" s="5"/>
    </row>
    <row r="355" spans="5:8" ht="16.5">
      <c r="E355" s="11"/>
      <c r="G355" s="11"/>
      <c r="H355" s="5"/>
    </row>
    <row r="362" spans="5:8" ht="16.5">
      <c r="E362" s="11"/>
      <c r="G362" s="11"/>
      <c r="H362" s="5"/>
    </row>
    <row r="363" spans="5:8" ht="16.5">
      <c r="E363" s="11"/>
      <c r="G363" s="11"/>
      <c r="H363" s="5"/>
    </row>
    <row r="364" spans="5:8" ht="16.5">
      <c r="E364" s="11"/>
      <c r="G364" s="11"/>
      <c r="H364" s="5"/>
    </row>
    <row r="365" spans="5:8" ht="16.5">
      <c r="E365" s="11"/>
      <c r="G365" s="11"/>
      <c r="H365" s="5"/>
    </row>
    <row r="366" spans="5:8" ht="16.5">
      <c r="E366" s="11"/>
      <c r="G366" s="11"/>
      <c r="H366" s="5"/>
    </row>
    <row r="367" spans="5:8" ht="16.5">
      <c r="E367" s="11"/>
      <c r="G367" s="11"/>
      <c r="H367" s="5"/>
    </row>
    <row r="380" spans="4:8" ht="16.5">
      <c r="H380" s="5"/>
    </row>
    <row r="381" spans="4:8" ht="16.5">
      <c r="H381" s="6"/>
    </row>
    <row r="382" spans="4:8" ht="16.5">
      <c r="H382" s="8"/>
    </row>
    <row r="383" spans="4:8" ht="16.5">
      <c r="D383" s="13"/>
    </row>
    <row r="384" spans="4:8" ht="16.5">
      <c r="D384" s="13"/>
    </row>
    <row r="386" spans="7:8" ht="16.5">
      <c r="G386" s="20"/>
      <c r="H386" s="4"/>
    </row>
    <row r="387" spans="7:8" ht="16.5">
      <c r="G387" s="20"/>
      <c r="H387" s="4"/>
    </row>
    <row r="388" spans="7:8" ht="16.5">
      <c r="G388" s="20"/>
      <c r="H388" s="4"/>
    </row>
    <row r="389" spans="7:8" ht="16.5">
      <c r="H389" s="4"/>
    </row>
    <row r="390" spans="7:8" ht="16.5">
      <c r="H390" s="4"/>
    </row>
    <row r="391" spans="7:8" ht="16.5">
      <c r="H391" s="4"/>
    </row>
  </sheetData>
  <mergeCells count="54">
    <mergeCell ref="Z2:Z3"/>
    <mergeCell ref="AA2:AD3"/>
    <mergeCell ref="AE2:AI3"/>
    <mergeCell ref="Z4:Z5"/>
    <mergeCell ref="AA4:AD5"/>
    <mergeCell ref="AE4:AI5"/>
    <mergeCell ref="Z6:Z7"/>
    <mergeCell ref="AA6:AD7"/>
    <mergeCell ref="AE6:AI7"/>
    <mergeCell ref="Z8:Z9"/>
    <mergeCell ref="AA8:AD9"/>
    <mergeCell ref="AE8:AI9"/>
    <mergeCell ref="Z10:Z11"/>
    <mergeCell ref="AA10:AD11"/>
    <mergeCell ref="AE10:AI11"/>
    <mergeCell ref="Z12:Z13"/>
    <mergeCell ref="AA12:AD13"/>
    <mergeCell ref="AE12:AI13"/>
    <mergeCell ref="Z14:Z15"/>
    <mergeCell ref="AA14:AD15"/>
    <mergeCell ref="AE14:AI15"/>
    <mergeCell ref="Z16:Z17"/>
    <mergeCell ref="AA16:AD17"/>
    <mergeCell ref="AE16:AI17"/>
    <mergeCell ref="Z18:Z19"/>
    <mergeCell ref="AA18:AD19"/>
    <mergeCell ref="AE18:AI19"/>
    <mergeCell ref="Z20:Z21"/>
    <mergeCell ref="AA20:AD21"/>
    <mergeCell ref="AE20:AI21"/>
    <mergeCell ref="Z22:Z23"/>
    <mergeCell ref="AA22:AD23"/>
    <mergeCell ref="AE22:AI23"/>
    <mergeCell ref="Z24:Z25"/>
    <mergeCell ref="AA24:AD25"/>
    <mergeCell ref="AE24:AI25"/>
    <mergeCell ref="Z26:Z27"/>
    <mergeCell ref="AA26:AD27"/>
    <mergeCell ref="AE26:AI27"/>
    <mergeCell ref="Z28:Z29"/>
    <mergeCell ref="AA28:AD29"/>
    <mergeCell ref="AE28:AI29"/>
    <mergeCell ref="Z30:Z31"/>
    <mergeCell ref="AA30:AD31"/>
    <mergeCell ref="AE30:AI31"/>
    <mergeCell ref="Z32:Z33"/>
    <mergeCell ref="AA32:AD33"/>
    <mergeCell ref="AE32:AI33"/>
    <mergeCell ref="Z34:Z35"/>
    <mergeCell ref="AA34:AD35"/>
    <mergeCell ref="AE34:AI35"/>
    <mergeCell ref="Z36:Z37"/>
    <mergeCell ref="AA36:AD37"/>
    <mergeCell ref="AE36:AI37"/>
  </mergeCells>
  <phoneticPr fontId="41" type="noConversion"/>
  <conditionalFormatting sqref="AA2">
    <cfRule type="containsText" dxfId="103" priority="10" operator="containsText" text="Pass">
      <formula>NOT(ISERROR(SEARCH("Pass",AA2)))</formula>
    </cfRule>
    <cfRule type="containsText" dxfId="102" priority="11" operator="containsText" text="Fail">
      <formula>NOT(ISERROR(SEARCH("Fail",AA2)))</formula>
    </cfRule>
    <cfRule type="containsText" dxfId="101" priority="12" operator="containsText" text="NG">
      <formula>NOT(ISERROR(SEARCH("NG",AA2)))</formula>
    </cfRule>
    <cfRule type="containsText" dxfId="100" priority="13" operator="containsText" text="OK">
      <formula>NOT(ISERROR(SEARCH("OK",AA2)))</formula>
    </cfRule>
  </conditionalFormatting>
  <conditionalFormatting sqref="AE2 AE4 AE6 AE8 AE10 AE12 AE14 AE16 AE18 AE20 AE22 AE24 AE26 AE28 AE30 AE32 AE34">
    <cfRule type="containsText" dxfId="99" priority="6" operator="containsText" text="Pass">
      <formula>NOT(ISERROR(SEARCH("Pass",AE2)))</formula>
    </cfRule>
    <cfRule type="containsText" dxfId="98" priority="7" operator="containsText" text="Fail">
      <formula>NOT(ISERROR(SEARCH("Fail",AE2)))</formula>
    </cfRule>
    <cfRule type="containsText" dxfId="97" priority="8" operator="containsText" text="NG">
      <formula>NOT(ISERROR(SEARCH("NG",AE2)))</formula>
    </cfRule>
    <cfRule type="containsText" dxfId="96" priority="9" operator="containsText" text="OK">
      <formula>NOT(ISERROR(SEARCH("OK",AE2)))</formula>
    </cfRule>
  </conditionalFormatting>
  <conditionalFormatting sqref="AE36">
    <cfRule type="containsText" dxfId="95" priority="2" operator="containsText" text="Pass">
      <formula>NOT(ISERROR(SEARCH("Pass",AE36)))</formula>
    </cfRule>
    <cfRule type="containsText" dxfId="94" priority="3" operator="containsText" text="Fail">
      <formula>NOT(ISERROR(SEARCH("Fail",AE36)))</formula>
    </cfRule>
    <cfRule type="containsText" dxfId="93" priority="4" operator="containsText" text="NG">
      <formula>NOT(ISERROR(SEARCH("NG",AE36)))</formula>
    </cfRule>
    <cfRule type="containsText" dxfId="92" priority="5" operator="containsText" text="OK">
      <formula>NOT(ISERROR(SEARCH("OK",AE36)))</formula>
    </cfRule>
  </conditionalFormatting>
  <printOptions horizontalCentered="1" verticalCentered="1"/>
  <pageMargins left="0.196527777777778" right="0.196527777777778" top="0.39374999999999999" bottom="0.226388888888889" header="0.511811023622047" footer="0.196527777777778"/>
  <pageSetup paperSize="9" scale="63" fitToHeight="0" orientation="landscape" horizontalDpi="300" verticalDpi="300" r:id="rId1"/>
  <headerFooter differentFirst="1">
    <oddFooter>&amp;C&amp;6&amp;P/&amp;N&amp;R&amp;6Manufacturing Dept. v3.12.2</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P1048570"/>
  <sheetViews>
    <sheetView tabSelected="1" view="pageBreakPreview" topLeftCell="E100" zoomScale="45" zoomScaleNormal="85" zoomScalePageLayoutView="45" workbookViewId="0">
      <selection activeCell="M131" sqref="M131"/>
    </sheetView>
  </sheetViews>
  <sheetFormatPr defaultColWidth="9" defaultRowHeight="45.75" customHeight="1"/>
  <cols>
    <col min="1" max="1" width="8.125" style="22" customWidth="1"/>
    <col min="2" max="2" width="45.75" style="23" customWidth="1"/>
    <col min="3" max="3" width="185.875" style="23" customWidth="1"/>
    <col min="4" max="4" width="15.125" style="22" customWidth="1"/>
    <col min="5" max="5" width="51.25" style="24" customWidth="1"/>
    <col min="6" max="6" width="15.125" style="22" customWidth="1"/>
    <col min="7" max="7" width="34.625" style="25" customWidth="1"/>
    <col min="8" max="8" width="15.125" style="22" customWidth="1"/>
    <col min="9" max="9" width="17.75" style="26" customWidth="1"/>
    <col min="10" max="10" width="24.125" style="27" customWidth="1"/>
    <col min="11" max="11" width="20.625" style="27" customWidth="1"/>
    <col min="12" max="12" width="17.875" style="27" customWidth="1"/>
    <col min="13" max="13" width="81" style="27" customWidth="1"/>
    <col min="14" max="14" width="255.75" style="23" customWidth="1"/>
    <col min="15" max="15" width="15.625" style="28" customWidth="1"/>
    <col min="16" max="16384" width="9" style="28"/>
  </cols>
  <sheetData>
    <row r="1" spans="1:15" s="22" customFormat="1" ht="26.25">
      <c r="A1" s="25" t="s">
        <v>0</v>
      </c>
      <c r="B1" s="25" t="s">
        <v>1</v>
      </c>
      <c r="C1" s="25" t="s">
        <v>2</v>
      </c>
      <c r="D1" s="25" t="s">
        <v>3</v>
      </c>
      <c r="E1" s="29" t="s">
        <v>4</v>
      </c>
      <c r="F1" s="25" t="s">
        <v>5</v>
      </c>
      <c r="G1" s="25" t="s">
        <v>6</v>
      </c>
      <c r="H1" s="25" t="s">
        <v>7</v>
      </c>
      <c r="I1" s="26" t="s">
        <v>8</v>
      </c>
      <c r="J1" s="30" t="s">
        <v>9</v>
      </c>
      <c r="K1" s="30" t="s">
        <v>10</v>
      </c>
      <c r="L1" s="31" t="s">
        <v>11</v>
      </c>
      <c r="M1" s="31" t="s">
        <v>745</v>
      </c>
      <c r="N1" s="25" t="s">
        <v>12</v>
      </c>
      <c r="O1" s="2" t="s">
        <v>13</v>
      </c>
    </row>
    <row r="2" spans="1:15" s="23" customFormat="1" ht="26.25">
      <c r="A2" s="32">
        <f>SUBTOTAL(103,$B$2:B2)*1</f>
        <v>1</v>
      </c>
      <c r="B2" s="28" t="s">
        <v>14</v>
      </c>
      <c r="C2" s="33" t="s">
        <v>15</v>
      </c>
      <c r="D2" s="34"/>
      <c r="E2" s="35" t="s">
        <v>16</v>
      </c>
      <c r="F2" s="36"/>
      <c r="G2" s="37" t="s">
        <v>17</v>
      </c>
      <c r="H2" s="32" t="s">
        <v>18</v>
      </c>
      <c r="I2" s="38" t="s">
        <v>19</v>
      </c>
      <c r="J2" s="39" t="s">
        <v>14</v>
      </c>
      <c r="K2" s="40"/>
      <c r="L2" s="41"/>
      <c r="M2" s="41"/>
      <c r="N2" s="42" t="s">
        <v>20</v>
      </c>
      <c r="O2" s="43"/>
    </row>
    <row r="3" spans="1:15" s="23" customFormat="1" ht="26.25">
      <c r="A3" s="32">
        <f>SUBTOTAL(103,$B$2:B3)*1</f>
        <v>2</v>
      </c>
      <c r="B3" s="28" t="s">
        <v>14</v>
      </c>
      <c r="C3" s="33" t="s">
        <v>21</v>
      </c>
      <c r="D3" s="34"/>
      <c r="E3" s="35"/>
      <c r="F3" s="36">
        <v>1</v>
      </c>
      <c r="G3" s="37">
        <v>0.36</v>
      </c>
      <c r="H3" s="32" t="s">
        <v>18</v>
      </c>
      <c r="I3" s="38" t="str">
        <f>IF(G3="","",IF(AND(G3&lt;=F3),"Pass","Fail"))</f>
        <v>Pass</v>
      </c>
      <c r="J3" s="39" t="s">
        <v>14</v>
      </c>
      <c r="K3" s="40" t="s">
        <v>22</v>
      </c>
      <c r="L3" s="41"/>
      <c r="M3" s="41"/>
      <c r="N3" s="42" t="s">
        <v>23</v>
      </c>
      <c r="O3" s="43"/>
    </row>
    <row r="4" spans="1:15" s="23" customFormat="1" ht="26.25">
      <c r="A4" s="32">
        <f>SUBTOTAL(103,$B$2:B4)*1</f>
        <v>3</v>
      </c>
      <c r="B4" s="28" t="s">
        <v>14</v>
      </c>
      <c r="C4" s="33" t="s">
        <v>24</v>
      </c>
      <c r="D4" s="34"/>
      <c r="E4" s="35"/>
      <c r="F4" s="32">
        <v>0.5</v>
      </c>
      <c r="G4" s="37">
        <v>7.0000000000000007E-2</v>
      </c>
      <c r="H4" s="32" t="s">
        <v>25</v>
      </c>
      <c r="I4" s="38" t="str">
        <f>IF(G4="","",IF(AND(G4&lt;=F4),"Pass","Fail"))</f>
        <v>Pass</v>
      </c>
      <c r="J4" s="39" t="s">
        <v>14</v>
      </c>
      <c r="K4" s="40" t="s">
        <v>22</v>
      </c>
      <c r="L4" s="41"/>
      <c r="M4" s="41"/>
      <c r="N4" s="42" t="s">
        <v>23</v>
      </c>
      <c r="O4" s="43"/>
    </row>
    <row r="5" spans="1:15" s="23" customFormat="1" ht="26.25">
      <c r="A5" s="32">
        <f>SUBTOTAL(103,$B$2:B5)*1</f>
        <v>4</v>
      </c>
      <c r="B5" s="28" t="s">
        <v>14</v>
      </c>
      <c r="C5" s="33" t="s">
        <v>26</v>
      </c>
      <c r="D5" s="34"/>
      <c r="E5" s="35" t="s">
        <v>16</v>
      </c>
      <c r="F5" s="32"/>
      <c r="G5" s="37">
        <v>1773.9390000000001</v>
      </c>
      <c r="H5" s="32" t="s">
        <v>27</v>
      </c>
      <c r="I5" s="38" t="s">
        <v>19</v>
      </c>
      <c r="J5" s="39" t="s">
        <v>14</v>
      </c>
      <c r="K5" s="40" t="s">
        <v>22</v>
      </c>
      <c r="L5" s="41"/>
      <c r="M5" s="41"/>
      <c r="N5" s="44" t="s">
        <v>28</v>
      </c>
      <c r="O5" s="43"/>
    </row>
    <row r="6" spans="1:15" s="23" customFormat="1" ht="26.25">
      <c r="A6" s="32">
        <f>SUBTOTAL(103,$B$2:B6)*1</f>
        <v>5</v>
      </c>
      <c r="B6" s="23" t="s">
        <v>14</v>
      </c>
      <c r="C6" s="33" t="s">
        <v>29</v>
      </c>
      <c r="D6" s="34"/>
      <c r="E6" s="35" t="s">
        <v>16</v>
      </c>
      <c r="F6" s="36"/>
      <c r="G6" s="37" t="s">
        <v>30</v>
      </c>
      <c r="H6" s="32" t="s">
        <v>18</v>
      </c>
      <c r="I6" s="38" t="s">
        <v>19</v>
      </c>
      <c r="J6" s="39" t="s">
        <v>14</v>
      </c>
      <c r="K6" s="40"/>
      <c r="L6" s="41"/>
      <c r="M6" s="41"/>
      <c r="N6" s="42" t="s">
        <v>31</v>
      </c>
      <c r="O6" s="43"/>
    </row>
    <row r="7" spans="1:15" s="23" customFormat="1" ht="26.25">
      <c r="A7" s="32">
        <f>SUBTOTAL(103,$B$2:B7)*1</f>
        <v>6</v>
      </c>
      <c r="B7" s="23" t="s">
        <v>14</v>
      </c>
      <c r="C7" s="33" t="s">
        <v>32</v>
      </c>
      <c r="D7" s="34"/>
      <c r="E7" s="35"/>
      <c r="F7" s="32">
        <v>1</v>
      </c>
      <c r="G7" s="45">
        <v>0.3</v>
      </c>
      <c r="H7" s="32" t="s">
        <v>18</v>
      </c>
      <c r="I7" s="38" t="str">
        <f>IF(G7="","",IF(AND(G7&lt;=F7),"Pass","Fail"))</f>
        <v>Pass</v>
      </c>
      <c r="J7" s="39" t="s">
        <v>14</v>
      </c>
      <c r="K7" s="40" t="s">
        <v>22</v>
      </c>
      <c r="L7" s="41"/>
      <c r="M7" s="41"/>
      <c r="N7" s="46" t="s">
        <v>33</v>
      </c>
      <c r="O7" s="43"/>
    </row>
    <row r="8" spans="1:15" s="23" customFormat="1" ht="26.25">
      <c r="A8" s="32">
        <f>SUBTOTAL(103,$B$2:B8)*1</f>
        <v>7</v>
      </c>
      <c r="B8" s="28" t="s">
        <v>14</v>
      </c>
      <c r="C8" s="33" t="s">
        <v>34</v>
      </c>
      <c r="D8" s="34"/>
      <c r="E8" s="35" t="s">
        <v>16</v>
      </c>
      <c r="F8" s="32"/>
      <c r="G8" s="45" t="s">
        <v>16</v>
      </c>
      <c r="H8" s="32" t="s">
        <v>16</v>
      </c>
      <c r="I8" s="38" t="str">
        <f>IF(AND(G9="",G10=""),"",IF(OR(G9&lt;=F9,G10&lt;=F10),"Pass","Fail"))</f>
        <v>Pass</v>
      </c>
      <c r="J8" s="39" t="s">
        <v>14</v>
      </c>
      <c r="K8" s="40"/>
      <c r="L8" s="41"/>
      <c r="M8" s="41"/>
      <c r="N8" s="46" t="s">
        <v>35</v>
      </c>
      <c r="O8" s="43"/>
    </row>
    <row r="9" spans="1:15" s="23" customFormat="1" ht="26.25">
      <c r="A9" s="32">
        <f>SUBTOTAL(103,$B$2:B9)*1</f>
        <v>8</v>
      </c>
      <c r="B9" s="28" t="s">
        <v>14</v>
      </c>
      <c r="C9" s="47" t="s">
        <v>36</v>
      </c>
      <c r="D9" s="34"/>
      <c r="E9" s="35"/>
      <c r="F9" s="32">
        <v>5</v>
      </c>
      <c r="G9" s="45">
        <v>1.6</v>
      </c>
      <c r="H9" s="32" t="s">
        <v>25</v>
      </c>
      <c r="I9" s="38" t="s">
        <v>19</v>
      </c>
      <c r="J9" s="39" t="s">
        <v>14</v>
      </c>
      <c r="K9" s="40" t="s">
        <v>22</v>
      </c>
      <c r="L9" s="41"/>
      <c r="M9" s="41"/>
      <c r="N9" s="46" t="s">
        <v>37</v>
      </c>
      <c r="O9" s="43"/>
    </row>
    <row r="10" spans="1:15" s="23" customFormat="1" ht="26.25">
      <c r="A10" s="32">
        <f>SUBTOTAL(103,$B$2:B10)*1</f>
        <v>9</v>
      </c>
      <c r="B10" s="28" t="s">
        <v>14</v>
      </c>
      <c r="C10" s="47" t="s">
        <v>38</v>
      </c>
      <c r="D10" s="34"/>
      <c r="E10" s="35"/>
      <c r="F10" s="32">
        <v>0.01</v>
      </c>
      <c r="G10" s="48">
        <v>4.0000000000000001E-3</v>
      </c>
      <c r="H10" s="49" t="s">
        <v>18</v>
      </c>
      <c r="I10" s="38" t="s">
        <v>19</v>
      </c>
      <c r="J10" s="39" t="s">
        <v>14</v>
      </c>
      <c r="K10" s="40" t="s">
        <v>22</v>
      </c>
      <c r="L10" s="41"/>
      <c r="M10" s="41"/>
      <c r="N10" s="46" t="s">
        <v>37</v>
      </c>
      <c r="O10" s="43"/>
    </row>
    <row r="11" spans="1:15" s="23" customFormat="1" ht="26.25">
      <c r="A11" s="32">
        <f>SUBTOTAL(103,$B$2:B11)*1</f>
        <v>10</v>
      </c>
      <c r="B11" s="28" t="s">
        <v>14</v>
      </c>
      <c r="C11" s="33" t="s">
        <v>39</v>
      </c>
      <c r="D11" s="34"/>
      <c r="E11" s="35" t="s">
        <v>16</v>
      </c>
      <c r="F11" s="32"/>
      <c r="G11" s="45" t="s">
        <v>16</v>
      </c>
      <c r="H11" s="49" t="s">
        <v>16</v>
      </c>
      <c r="I11" s="38" t="str">
        <f>IF(AND(G12="",G13=""),"",IF(OR(G12&lt;=F12,G13&lt;=F13),"Pass","Fail"))</f>
        <v>Pass</v>
      </c>
      <c r="J11" s="39" t="s">
        <v>14</v>
      </c>
      <c r="K11" s="40"/>
      <c r="L11" s="41"/>
      <c r="M11" s="41"/>
      <c r="N11" s="46" t="s">
        <v>35</v>
      </c>
      <c r="O11" s="43"/>
    </row>
    <row r="12" spans="1:15" s="23" customFormat="1" ht="26.25">
      <c r="A12" s="32">
        <f>SUBTOTAL(103,$B$2:B12)*1</f>
        <v>11</v>
      </c>
      <c r="B12" s="28" t="s">
        <v>14</v>
      </c>
      <c r="C12" s="47" t="s">
        <v>40</v>
      </c>
      <c r="D12" s="34"/>
      <c r="E12" s="35"/>
      <c r="F12" s="32">
        <v>5</v>
      </c>
      <c r="G12" s="45">
        <v>0.2</v>
      </c>
      <c r="H12" s="32" t="s">
        <v>25</v>
      </c>
      <c r="I12" s="38" t="s">
        <v>19</v>
      </c>
      <c r="J12" s="39" t="s">
        <v>14</v>
      </c>
      <c r="K12" s="40" t="s">
        <v>22</v>
      </c>
      <c r="L12" s="41"/>
      <c r="M12" s="41"/>
      <c r="N12" s="46" t="s">
        <v>37</v>
      </c>
      <c r="O12" s="43"/>
    </row>
    <row r="13" spans="1:15" s="23" customFormat="1" ht="26.25">
      <c r="A13" s="32">
        <f>SUBTOTAL(103,$B$2:B13)*1</f>
        <v>12</v>
      </c>
      <c r="B13" s="28" t="s">
        <v>14</v>
      </c>
      <c r="C13" s="47" t="s">
        <v>41</v>
      </c>
      <c r="D13" s="34"/>
      <c r="E13" s="35"/>
      <c r="F13" s="32">
        <v>0.01</v>
      </c>
      <c r="G13" s="48">
        <v>1E-3</v>
      </c>
      <c r="H13" s="32" t="s">
        <v>18</v>
      </c>
      <c r="I13" s="38" t="s">
        <v>19</v>
      </c>
      <c r="J13" s="39" t="s">
        <v>14</v>
      </c>
      <c r="K13" s="40" t="s">
        <v>22</v>
      </c>
      <c r="L13" s="41"/>
      <c r="M13" s="41"/>
      <c r="N13" s="46" t="s">
        <v>37</v>
      </c>
      <c r="O13" s="43"/>
    </row>
    <row r="14" spans="1:15" s="23" customFormat="1" ht="26.25">
      <c r="A14" s="32">
        <f>SUBTOTAL(103,$B$2:B14)*1</f>
        <v>13</v>
      </c>
      <c r="B14" s="28" t="s">
        <v>42</v>
      </c>
      <c r="C14" s="33" t="s">
        <v>43</v>
      </c>
      <c r="D14" s="34"/>
      <c r="E14" s="35"/>
      <c r="F14" s="36">
        <v>1</v>
      </c>
      <c r="G14" s="50">
        <v>0.28999999999999998</v>
      </c>
      <c r="H14" s="32" t="s">
        <v>18</v>
      </c>
      <c r="I14" s="38" t="str">
        <f>IF(G14="","",IF(AND(G14&lt;=F14),"Pass","Fail"))</f>
        <v>Pass</v>
      </c>
      <c r="J14" s="39" t="s">
        <v>14</v>
      </c>
      <c r="K14" s="40" t="s">
        <v>22</v>
      </c>
      <c r="L14" s="41"/>
      <c r="M14" s="41"/>
      <c r="N14" s="44" t="s">
        <v>44</v>
      </c>
      <c r="O14" s="43"/>
    </row>
    <row r="15" spans="1:15" s="23" customFormat="1" ht="26.25">
      <c r="A15" s="32">
        <f>SUBTOTAL(103,$B$2:B15)*1</f>
        <v>14</v>
      </c>
      <c r="B15" s="28" t="s">
        <v>42</v>
      </c>
      <c r="C15" s="33" t="s">
        <v>45</v>
      </c>
      <c r="D15" s="34"/>
      <c r="E15" s="35"/>
      <c r="F15" s="32">
        <v>0.5</v>
      </c>
      <c r="G15" s="37">
        <v>0.06</v>
      </c>
      <c r="H15" s="32" t="s">
        <v>25</v>
      </c>
      <c r="I15" s="38" t="str">
        <f>IF(G15="","",IF(AND(G15&lt;=F15),"Pass","Fail"))</f>
        <v>Pass</v>
      </c>
      <c r="J15" s="39" t="s">
        <v>14</v>
      </c>
      <c r="K15" s="40" t="s">
        <v>22</v>
      </c>
      <c r="L15" s="41"/>
      <c r="M15" s="41"/>
      <c r="N15" s="44" t="s">
        <v>44</v>
      </c>
      <c r="O15" s="43"/>
    </row>
    <row r="16" spans="1:15" s="23" customFormat="1" ht="26.25">
      <c r="A16" s="32">
        <f>SUBTOTAL(103,$B$2:B16)*1</f>
        <v>15</v>
      </c>
      <c r="B16" s="28" t="s">
        <v>46</v>
      </c>
      <c r="C16" s="51" t="s">
        <v>47</v>
      </c>
      <c r="D16" s="32"/>
      <c r="E16" s="35" t="s">
        <v>48</v>
      </c>
      <c r="F16" s="32"/>
      <c r="G16" s="37" t="s">
        <v>48</v>
      </c>
      <c r="H16" s="32" t="s">
        <v>16</v>
      </c>
      <c r="I16" s="38" t="str">
        <f>IF(G16="","",IF(G16=E16,"Pass","Fail"))</f>
        <v>Pass</v>
      </c>
      <c r="J16" s="39" t="s">
        <v>14</v>
      </c>
      <c r="K16" s="40"/>
      <c r="L16" s="52"/>
      <c r="M16" s="52"/>
      <c r="N16" s="53"/>
      <c r="O16" s="43"/>
    </row>
    <row r="17" spans="1:15" s="23" customFormat="1" ht="26.25">
      <c r="A17" s="32">
        <f>SUBTOTAL(103,$B$2:B17)*1</f>
        <v>16</v>
      </c>
      <c r="B17" s="23" t="s">
        <v>49</v>
      </c>
      <c r="C17" s="54" t="s">
        <v>50</v>
      </c>
      <c r="D17" s="34"/>
      <c r="E17" s="35"/>
      <c r="F17" s="55">
        <v>0.25</v>
      </c>
      <c r="G17" s="37">
        <v>0.14099999999999999</v>
      </c>
      <c r="H17" s="32" t="s">
        <v>18</v>
      </c>
      <c r="I17" s="38" t="str">
        <f>IF(G17="","",IF(AND(G17&lt;=F17),"Pass","Fail"))</f>
        <v>Pass</v>
      </c>
      <c r="J17" s="56" t="s">
        <v>14</v>
      </c>
      <c r="K17" s="40" t="s">
        <v>22</v>
      </c>
      <c r="L17" s="41"/>
      <c r="M17" s="41"/>
      <c r="N17" s="46" t="s">
        <v>51</v>
      </c>
      <c r="O17" s="43"/>
    </row>
    <row r="18" spans="1:15" s="23" customFormat="1" ht="26.25">
      <c r="A18" s="32">
        <f>SUBTOTAL(103,$B$2:B18)*1</f>
        <v>17</v>
      </c>
      <c r="B18" s="23" t="s">
        <v>49</v>
      </c>
      <c r="C18" s="54" t="s">
        <v>52</v>
      </c>
      <c r="D18" s="34"/>
      <c r="E18" s="35"/>
      <c r="F18" s="57">
        <v>0.1</v>
      </c>
      <c r="G18" s="48">
        <v>0.04</v>
      </c>
      <c r="H18" s="49" t="s">
        <v>16</v>
      </c>
      <c r="I18" s="38" t="str">
        <f>IF(G18="","",IF(AND(G18&lt;=F18),"Pass","Fail"))</f>
        <v>Pass</v>
      </c>
      <c r="J18" s="39" t="s">
        <v>14</v>
      </c>
      <c r="K18" s="40" t="s">
        <v>22</v>
      </c>
      <c r="L18" s="41"/>
      <c r="M18" s="41"/>
      <c r="N18" s="46" t="s">
        <v>53</v>
      </c>
      <c r="O18" s="58" t="s">
        <v>54</v>
      </c>
    </row>
    <row r="19" spans="1:15" s="23" customFormat="1" ht="69.75">
      <c r="A19" s="32">
        <f>SUBTOTAL(103,$B$2:B19)*1</f>
        <v>18</v>
      </c>
      <c r="B19" s="23" t="s">
        <v>55</v>
      </c>
      <c r="C19" s="54" t="s">
        <v>56</v>
      </c>
      <c r="D19" s="34"/>
      <c r="E19" s="35"/>
      <c r="F19" s="55">
        <v>0.05</v>
      </c>
      <c r="G19" s="37">
        <v>3.5000000000000003E-2</v>
      </c>
      <c r="H19" s="32" t="s">
        <v>18</v>
      </c>
      <c r="I19" s="38" t="str">
        <f>IF(G19="","",IF(AND(G19&lt;=F19),"Pass","Fail"))</f>
        <v>Pass</v>
      </c>
      <c r="J19" s="39" t="s">
        <v>14</v>
      </c>
      <c r="K19" s="40" t="s">
        <v>22</v>
      </c>
      <c r="L19" s="41"/>
      <c r="M19" s="41"/>
      <c r="N19" s="46" t="s">
        <v>57</v>
      </c>
      <c r="O19" s="58" t="s">
        <v>746</v>
      </c>
    </row>
    <row r="20" spans="1:15" s="23" customFormat="1" ht="26.25">
      <c r="A20" s="32">
        <f>SUBTOTAL(103,$B$2:B20)*1</f>
        <v>19</v>
      </c>
      <c r="B20" s="23" t="s">
        <v>58</v>
      </c>
      <c r="C20" s="23" t="s">
        <v>59</v>
      </c>
      <c r="D20" s="32">
        <v>2.5</v>
      </c>
      <c r="E20" s="35"/>
      <c r="F20" s="32">
        <v>3.5</v>
      </c>
      <c r="G20" s="50">
        <v>2.94</v>
      </c>
      <c r="H20" s="32" t="s">
        <v>60</v>
      </c>
      <c r="I20" s="38" t="str">
        <f>IF(G20="","",IF(AND(G20&gt;=D20,G20&lt;=F20),"Pass","Fail"))</f>
        <v>Pass</v>
      </c>
      <c r="J20" s="39" t="s">
        <v>14</v>
      </c>
      <c r="K20" s="40"/>
      <c r="L20" s="41"/>
      <c r="M20" s="41"/>
      <c r="N20" s="53"/>
      <c r="O20" s="58" t="s">
        <v>54</v>
      </c>
    </row>
    <row r="21" spans="1:15" s="23" customFormat="1" ht="26.25">
      <c r="A21" s="32">
        <f>SUBTOTAL(103,$B$2:B21)*1</f>
        <v>20</v>
      </c>
      <c r="B21" s="23" t="s">
        <v>58</v>
      </c>
      <c r="C21" s="23" t="s">
        <v>61</v>
      </c>
      <c r="D21" s="32"/>
      <c r="E21" s="35" t="s">
        <v>48</v>
      </c>
      <c r="F21" s="32"/>
      <c r="G21" s="37" t="s">
        <v>48</v>
      </c>
      <c r="H21" s="32" t="s">
        <v>16</v>
      </c>
      <c r="I21" s="38" t="str">
        <f>IF(G21="","",IF(G21=E21,"Pass","Fail"))</f>
        <v>Pass</v>
      </c>
      <c r="J21" s="39" t="s">
        <v>14</v>
      </c>
      <c r="K21" s="40"/>
      <c r="L21" s="41"/>
      <c r="M21" s="41"/>
      <c r="N21" s="46" t="s">
        <v>62</v>
      </c>
      <c r="O21" s="58" t="s">
        <v>54</v>
      </c>
    </row>
    <row r="22" spans="1:15" s="23" customFormat="1" ht="26.25">
      <c r="A22" s="32">
        <f>SUBTOTAL(103,$B$2:B22)*1</f>
        <v>21</v>
      </c>
      <c r="B22" s="23" t="s">
        <v>58</v>
      </c>
      <c r="C22" s="23" t="s">
        <v>63</v>
      </c>
      <c r="D22" s="32"/>
      <c r="E22" s="35" t="s">
        <v>16</v>
      </c>
      <c r="F22" s="32"/>
      <c r="G22" s="50">
        <v>0.08</v>
      </c>
      <c r="H22" s="32" t="s">
        <v>25</v>
      </c>
      <c r="I22" s="38" t="s">
        <v>19</v>
      </c>
      <c r="J22" s="39" t="s">
        <v>14</v>
      </c>
      <c r="K22" s="40"/>
      <c r="L22" s="41"/>
      <c r="M22" s="41"/>
      <c r="N22" s="46" t="s">
        <v>64</v>
      </c>
      <c r="O22" s="58" t="s">
        <v>54</v>
      </c>
    </row>
    <row r="23" spans="1:15" s="23" customFormat="1" ht="26.25">
      <c r="A23" s="32">
        <f>SUBTOTAL(103,$B$2:B23)*1</f>
        <v>22</v>
      </c>
      <c r="B23" s="23" t="s">
        <v>58</v>
      </c>
      <c r="C23" s="23" t="s">
        <v>65</v>
      </c>
      <c r="D23" s="32">
        <v>0.1</v>
      </c>
      <c r="E23" s="35"/>
      <c r="F23" s="32">
        <v>50</v>
      </c>
      <c r="G23" s="37">
        <v>1.63</v>
      </c>
      <c r="H23" s="32" t="s">
        <v>25</v>
      </c>
      <c r="I23" s="38" t="str">
        <f>IF(G23="","",IF(AND(G23&gt;=D23,G23&lt;=F23),"Pass","Fail"))</f>
        <v>Pass</v>
      </c>
      <c r="J23" s="39" t="s">
        <v>14</v>
      </c>
      <c r="K23" s="40"/>
      <c r="L23" s="41"/>
      <c r="M23" s="41"/>
      <c r="N23" s="46" t="s">
        <v>66</v>
      </c>
      <c r="O23" s="58" t="s">
        <v>54</v>
      </c>
    </row>
    <row r="24" spans="1:15" s="23" customFormat="1" ht="26.25">
      <c r="A24" s="32">
        <f>SUBTOTAL(103,$B$2:B24)*1</f>
        <v>23</v>
      </c>
      <c r="B24" s="23" t="s">
        <v>58</v>
      </c>
      <c r="C24" s="23" t="s">
        <v>67</v>
      </c>
      <c r="D24" s="32"/>
      <c r="E24" s="35" t="s">
        <v>16</v>
      </c>
      <c r="F24" s="32"/>
      <c r="G24" s="50">
        <v>8.31</v>
      </c>
      <c r="H24" s="32" t="s">
        <v>25</v>
      </c>
      <c r="I24" s="38" t="s">
        <v>19</v>
      </c>
      <c r="J24" s="39" t="s">
        <v>14</v>
      </c>
      <c r="K24" s="40"/>
      <c r="L24" s="41"/>
      <c r="M24" s="41"/>
      <c r="N24" s="46" t="s">
        <v>68</v>
      </c>
      <c r="O24" s="58" t="s">
        <v>54</v>
      </c>
    </row>
    <row r="25" spans="1:15" s="23" customFormat="1" ht="26.25">
      <c r="A25" s="32">
        <f>SUBTOTAL(103,$B$2:B25)*1</f>
        <v>24</v>
      </c>
      <c r="B25" s="23" t="s">
        <v>58</v>
      </c>
      <c r="C25" s="23" t="s">
        <v>69</v>
      </c>
      <c r="D25" s="32"/>
      <c r="E25" s="35" t="s">
        <v>48</v>
      </c>
      <c r="F25" s="32"/>
      <c r="G25" s="37" t="s">
        <v>48</v>
      </c>
      <c r="H25" s="32" t="s">
        <v>16</v>
      </c>
      <c r="I25" s="38" t="str">
        <f>IF(G25="","",IF(G25=E25,"Pass","Fail"))</f>
        <v>Pass</v>
      </c>
      <c r="J25" s="39" t="s">
        <v>14</v>
      </c>
      <c r="K25" s="40"/>
      <c r="L25" s="41"/>
      <c r="M25" s="41"/>
      <c r="N25" s="53"/>
      <c r="O25" s="58" t="s">
        <v>54</v>
      </c>
    </row>
    <row r="26" spans="1:15" s="23" customFormat="1" ht="26.25">
      <c r="A26" s="32">
        <f>SUBTOTAL(103,$B$2:B26)*1</f>
        <v>25</v>
      </c>
      <c r="B26" s="23" t="s">
        <v>58</v>
      </c>
      <c r="C26" s="33" t="s">
        <v>70</v>
      </c>
      <c r="D26" s="32"/>
      <c r="E26" s="35" t="s">
        <v>16</v>
      </c>
      <c r="F26" s="36"/>
      <c r="G26" s="37" t="s">
        <v>71</v>
      </c>
      <c r="H26" s="32" t="s">
        <v>18</v>
      </c>
      <c r="I26" s="38" t="s">
        <v>19</v>
      </c>
      <c r="J26" s="39" t="s">
        <v>14</v>
      </c>
      <c r="K26" s="40"/>
      <c r="L26" s="52"/>
      <c r="M26" s="52"/>
      <c r="N26" s="42" t="s">
        <v>72</v>
      </c>
      <c r="O26" s="58" t="s">
        <v>54</v>
      </c>
    </row>
    <row r="27" spans="1:15" s="23" customFormat="1" ht="26.25">
      <c r="A27" s="32">
        <f>SUBTOTAL(103,$B$2:B27)*1</f>
        <v>26</v>
      </c>
      <c r="B27" s="23" t="s">
        <v>58</v>
      </c>
      <c r="C27" s="23" t="s">
        <v>73</v>
      </c>
      <c r="D27" s="32"/>
      <c r="E27" s="35"/>
      <c r="F27" s="36">
        <v>2</v>
      </c>
      <c r="G27" s="50">
        <v>0.37</v>
      </c>
      <c r="H27" s="32" t="s">
        <v>25</v>
      </c>
      <c r="I27" s="38" t="str">
        <f>IF(G27="","",IF(AND(G27&lt;=F27),"Pass","Fail"))</f>
        <v>Pass</v>
      </c>
      <c r="J27" s="39" t="s">
        <v>14</v>
      </c>
      <c r="K27" s="40" t="s">
        <v>22</v>
      </c>
      <c r="L27" s="41"/>
      <c r="M27" s="41"/>
      <c r="N27" s="46" t="s">
        <v>74</v>
      </c>
      <c r="O27" s="58" t="s">
        <v>54</v>
      </c>
    </row>
    <row r="28" spans="1:15" s="23" customFormat="1" ht="26.25">
      <c r="A28" s="32">
        <f>SUBTOTAL(103,$B$2:B28)*1</f>
        <v>27</v>
      </c>
      <c r="B28" s="23" t="s">
        <v>58</v>
      </c>
      <c r="C28" s="23" t="s">
        <v>75</v>
      </c>
      <c r="D28" s="32">
        <v>10</v>
      </c>
      <c r="E28" s="35"/>
      <c r="F28" s="32">
        <v>18</v>
      </c>
      <c r="G28" s="45">
        <v>13.15</v>
      </c>
      <c r="H28" s="32" t="s">
        <v>60</v>
      </c>
      <c r="I28" s="38" t="str">
        <f>IF(G28="","",IF(AND(G28&gt;=D28,G28&lt;=F28),"Pass","Fail"))</f>
        <v>Pass</v>
      </c>
      <c r="J28" s="39" t="s">
        <v>14</v>
      </c>
      <c r="K28" s="40" t="s">
        <v>22</v>
      </c>
      <c r="L28" s="41"/>
      <c r="M28" s="41"/>
      <c r="N28" s="46" t="s">
        <v>76</v>
      </c>
      <c r="O28" s="58" t="s">
        <v>54</v>
      </c>
    </row>
    <row r="29" spans="1:15" s="23" customFormat="1" ht="26.25">
      <c r="A29" s="32">
        <f>SUBTOTAL(103,$B$2:B29)*1</f>
        <v>28</v>
      </c>
      <c r="B29" s="23" t="s">
        <v>58</v>
      </c>
      <c r="C29" s="23" t="s">
        <v>77</v>
      </c>
      <c r="D29" s="32">
        <v>0.9</v>
      </c>
      <c r="E29" s="35">
        <v>1</v>
      </c>
      <c r="F29" s="32">
        <v>1.1000000000000001</v>
      </c>
      <c r="G29" s="50">
        <v>1.0329999999999999</v>
      </c>
      <c r="H29" s="32" t="s">
        <v>16</v>
      </c>
      <c r="I29" s="38" t="str">
        <f>IF(G29="","",IF(AND(G29&gt;=D29,G29&lt;=F29),"Pass","Fail"))</f>
        <v>Pass</v>
      </c>
      <c r="J29" s="39" t="s">
        <v>14</v>
      </c>
      <c r="K29" s="40" t="s">
        <v>22</v>
      </c>
      <c r="L29" s="41"/>
      <c r="M29" s="41"/>
      <c r="N29" s="46" t="s">
        <v>78</v>
      </c>
      <c r="O29" s="58" t="s">
        <v>54</v>
      </c>
    </row>
    <row r="30" spans="1:15" s="23" customFormat="1" ht="26.25">
      <c r="A30" s="32">
        <f>SUBTOTAL(103,$B$2:B30)*1</f>
        <v>29</v>
      </c>
      <c r="B30" s="23" t="s">
        <v>79</v>
      </c>
      <c r="C30" s="23" t="s">
        <v>80</v>
      </c>
      <c r="D30" s="32">
        <v>-0.5</v>
      </c>
      <c r="E30" s="35"/>
      <c r="F30" s="32">
        <v>0.5</v>
      </c>
      <c r="G30" s="50">
        <v>-8.4000000000000005E-2</v>
      </c>
      <c r="H30" s="32" t="s">
        <v>60</v>
      </c>
      <c r="I30" s="38" t="str">
        <f>IF(G30="","",IF(AND(G30&gt;=D30,G30&lt;=F30),"Pass","Fail"))</f>
        <v>Pass</v>
      </c>
      <c r="J30" s="39" t="s">
        <v>14</v>
      </c>
      <c r="K30" s="40"/>
      <c r="L30" s="41"/>
      <c r="M30" s="41"/>
      <c r="N30" s="59"/>
      <c r="O30" s="58" t="s">
        <v>54</v>
      </c>
    </row>
    <row r="31" spans="1:15" s="23" customFormat="1" ht="26.25">
      <c r="A31" s="32">
        <f>SUBTOTAL(103,$B$2:B31)*1</f>
        <v>30</v>
      </c>
      <c r="B31" s="23" t="s">
        <v>81</v>
      </c>
      <c r="C31" s="23" t="s">
        <v>82</v>
      </c>
      <c r="D31" s="32">
        <v>39</v>
      </c>
      <c r="E31" s="35"/>
      <c r="F31" s="32">
        <v>46</v>
      </c>
      <c r="G31" s="45">
        <v>41.122199999999999</v>
      </c>
      <c r="H31" s="32" t="s">
        <v>83</v>
      </c>
      <c r="I31" s="38" t="str">
        <f>IF(G31="","",IF(AND(G31&gt;=D31,G31&lt;=F31),"Pass","Fail"))</f>
        <v>Pass</v>
      </c>
      <c r="J31" s="39" t="s">
        <v>14</v>
      </c>
      <c r="K31" s="40" t="s">
        <v>22</v>
      </c>
      <c r="L31" s="41"/>
      <c r="M31" s="41"/>
      <c r="N31" s="46" t="s">
        <v>84</v>
      </c>
      <c r="O31" s="58" t="s">
        <v>54</v>
      </c>
    </row>
    <row r="32" spans="1:15" s="23" customFormat="1" ht="26.25">
      <c r="A32" s="32">
        <f>SUBTOTAL(103,$B$2:B32)*1</f>
        <v>31</v>
      </c>
      <c r="B32" s="23" t="s">
        <v>81</v>
      </c>
      <c r="C32" s="23" t="s">
        <v>85</v>
      </c>
      <c r="D32" s="32"/>
      <c r="E32" s="35"/>
      <c r="F32" s="32">
        <v>0.1</v>
      </c>
      <c r="G32" s="50">
        <v>6.6000000000000003E-2</v>
      </c>
      <c r="H32" s="32" t="s">
        <v>18</v>
      </c>
      <c r="I32" s="38" t="str">
        <f>IF(G32="","",IF(G32&lt;=F32,"Pass","Fail"))</f>
        <v>Pass</v>
      </c>
      <c r="J32" s="39" t="s">
        <v>14</v>
      </c>
      <c r="K32" s="40" t="s">
        <v>22</v>
      </c>
      <c r="L32" s="41"/>
      <c r="M32" s="41"/>
      <c r="N32" s="53"/>
      <c r="O32" s="58" t="s">
        <v>54</v>
      </c>
    </row>
    <row r="33" spans="1:15" s="23" customFormat="1" ht="26.25">
      <c r="A33" s="32">
        <f>SUBTOTAL(103,$B$2:B33)*1</f>
        <v>32</v>
      </c>
      <c r="B33" s="23" t="s">
        <v>58</v>
      </c>
      <c r="C33" s="23" t="s">
        <v>86</v>
      </c>
      <c r="D33" s="32">
        <v>0.98</v>
      </c>
      <c r="E33" s="60"/>
      <c r="F33" s="32">
        <v>1.02</v>
      </c>
      <c r="G33" s="48">
        <f>LINEST(G34:G37,E34:E37)</f>
        <v>1.0042653491824869</v>
      </c>
      <c r="H33" s="32" t="s">
        <v>16</v>
      </c>
      <c r="I33" s="38" t="str">
        <f t="shared" ref="I33:I39" si="0">IF(G33="","",IF(AND(G33&gt;=D33,G33&lt;=F33),"Pass","Fail"))</f>
        <v>Pass</v>
      </c>
      <c r="J33" s="39" t="s">
        <v>14</v>
      </c>
      <c r="K33" s="40" t="s">
        <v>22</v>
      </c>
      <c r="L33" s="41"/>
      <c r="M33" s="41"/>
      <c r="N33" s="46" t="s">
        <v>87</v>
      </c>
      <c r="O33" s="58" t="s">
        <v>54</v>
      </c>
    </row>
    <row r="34" spans="1:15" s="23" customFormat="1" ht="26.25">
      <c r="A34" s="32">
        <f>SUBTOTAL(103,$B$2:B34)*1</f>
        <v>33</v>
      </c>
      <c r="B34" s="28" t="s">
        <v>58</v>
      </c>
      <c r="C34" s="61" t="s">
        <v>88</v>
      </c>
      <c r="D34" s="62">
        <v>943</v>
      </c>
      <c r="E34" s="63">
        <v>948.6</v>
      </c>
      <c r="F34" s="64">
        <v>954.2</v>
      </c>
      <c r="G34" s="50">
        <v>951.94989999999996</v>
      </c>
      <c r="H34" s="32" t="s">
        <v>18</v>
      </c>
      <c r="I34" s="38" t="str">
        <f t="shared" si="0"/>
        <v>Pass</v>
      </c>
      <c r="J34" s="39" t="s">
        <v>14</v>
      </c>
      <c r="K34" s="40"/>
      <c r="L34" s="52"/>
      <c r="M34" s="52"/>
      <c r="N34" s="46" t="s">
        <v>89</v>
      </c>
      <c r="O34" s="58" t="s">
        <v>54</v>
      </c>
    </row>
    <row r="35" spans="1:15" s="23" customFormat="1" ht="26.25">
      <c r="A35" s="32">
        <f>SUBTOTAL(103,$B$2:B35)*1</f>
        <v>34</v>
      </c>
      <c r="B35" s="28" t="s">
        <v>58</v>
      </c>
      <c r="C35" s="61" t="s">
        <v>90</v>
      </c>
      <c r="D35" s="64">
        <v>458.4</v>
      </c>
      <c r="E35" s="63">
        <v>461.2</v>
      </c>
      <c r="F35" s="62">
        <v>464</v>
      </c>
      <c r="G35" s="50">
        <v>461.79</v>
      </c>
      <c r="H35" s="32" t="s">
        <v>18</v>
      </c>
      <c r="I35" s="38" t="str">
        <f t="shared" si="0"/>
        <v>Pass</v>
      </c>
      <c r="J35" s="39" t="s">
        <v>14</v>
      </c>
      <c r="K35" s="40"/>
      <c r="L35" s="52"/>
      <c r="M35" s="52"/>
      <c r="N35" s="46" t="s">
        <v>89</v>
      </c>
      <c r="O35" s="58" t="s">
        <v>54</v>
      </c>
    </row>
    <row r="36" spans="1:15" s="23" customFormat="1" ht="26.25">
      <c r="A36" s="32">
        <f>SUBTOTAL(103,$B$2:B36)*1</f>
        <v>35</v>
      </c>
      <c r="B36" s="28" t="s">
        <v>58</v>
      </c>
      <c r="C36" s="61" t="s">
        <v>91</v>
      </c>
      <c r="D36" s="64">
        <v>181.8</v>
      </c>
      <c r="E36" s="63">
        <v>183.8</v>
      </c>
      <c r="F36" s="64">
        <v>185.8</v>
      </c>
      <c r="G36" s="50">
        <v>183.4169</v>
      </c>
      <c r="H36" s="32" t="s">
        <v>18</v>
      </c>
      <c r="I36" s="38" t="str">
        <f t="shared" si="0"/>
        <v>Pass</v>
      </c>
      <c r="J36" s="39" t="s">
        <v>14</v>
      </c>
      <c r="K36" s="40"/>
      <c r="L36" s="52"/>
      <c r="M36" s="52"/>
      <c r="N36" s="46" t="s">
        <v>89</v>
      </c>
      <c r="O36" s="58" t="s">
        <v>54</v>
      </c>
    </row>
    <row r="37" spans="1:15" s="23" customFormat="1" ht="26.25">
      <c r="A37" s="32">
        <f>SUBTOTAL(103,$B$2:B37)*1</f>
        <v>36</v>
      </c>
      <c r="B37" s="28" t="s">
        <v>58</v>
      </c>
      <c r="C37" s="23" t="s">
        <v>92</v>
      </c>
      <c r="D37" s="64">
        <v>14.3</v>
      </c>
      <c r="E37" s="63">
        <v>15.1</v>
      </c>
      <c r="F37" s="62">
        <v>15.9</v>
      </c>
      <c r="G37" s="50">
        <v>14.63</v>
      </c>
      <c r="H37" s="32" t="s">
        <v>18</v>
      </c>
      <c r="I37" s="38" t="str">
        <f t="shared" si="0"/>
        <v>Pass</v>
      </c>
      <c r="J37" s="39" t="s">
        <v>14</v>
      </c>
      <c r="K37" s="40"/>
      <c r="L37" s="52"/>
      <c r="M37" s="52"/>
      <c r="N37" s="46" t="s">
        <v>89</v>
      </c>
      <c r="O37" s="58" t="s">
        <v>54</v>
      </c>
    </row>
    <row r="38" spans="1:15" s="23" customFormat="1" ht="26.25">
      <c r="A38" s="32">
        <f>SUBTOTAL(103,$B$2:B38)*1</f>
        <v>37</v>
      </c>
      <c r="B38" s="23" t="s">
        <v>93</v>
      </c>
      <c r="C38" s="23" t="s">
        <v>94</v>
      </c>
      <c r="D38" s="65">
        <v>-0.01</v>
      </c>
      <c r="E38" s="35"/>
      <c r="F38" s="65">
        <v>0.01</v>
      </c>
      <c r="G38" s="37">
        <v>-1.2999999999999999E-3</v>
      </c>
      <c r="H38" s="32" t="s">
        <v>16</v>
      </c>
      <c r="I38" s="38" t="str">
        <f t="shared" si="0"/>
        <v>Pass</v>
      </c>
      <c r="J38" s="39" t="s">
        <v>14</v>
      </c>
      <c r="K38" s="40" t="s">
        <v>22</v>
      </c>
      <c r="L38" s="41"/>
      <c r="M38" s="41"/>
      <c r="N38" s="46"/>
      <c r="O38" s="58" t="s">
        <v>54</v>
      </c>
    </row>
    <row r="39" spans="1:15" s="23" customFormat="1" ht="26.25">
      <c r="A39" s="32">
        <f>SUBTOTAL(103,$B$2:B39)*1</f>
        <v>38</v>
      </c>
      <c r="B39" s="23" t="s">
        <v>93</v>
      </c>
      <c r="C39" s="23" t="s">
        <v>95</v>
      </c>
      <c r="D39" s="65">
        <v>-0.01</v>
      </c>
      <c r="E39" s="35"/>
      <c r="F39" s="65">
        <v>0.01</v>
      </c>
      <c r="G39" s="66">
        <v>-6.9999999999999999E-4</v>
      </c>
      <c r="H39" s="32" t="s">
        <v>16</v>
      </c>
      <c r="I39" s="38" t="str">
        <f t="shared" si="0"/>
        <v>Pass</v>
      </c>
      <c r="J39" s="39" t="s">
        <v>14</v>
      </c>
      <c r="K39" s="40" t="s">
        <v>22</v>
      </c>
      <c r="L39" s="41"/>
      <c r="M39" s="41"/>
      <c r="N39" s="46"/>
      <c r="O39" s="58" t="s">
        <v>54</v>
      </c>
    </row>
    <row r="40" spans="1:15" s="23" customFormat="1" ht="26.25">
      <c r="A40" s="32">
        <f>SUBTOTAL(103,$B$2:B40)*1</f>
        <v>39</v>
      </c>
      <c r="B40" s="23" t="s">
        <v>93</v>
      </c>
      <c r="C40" s="23" t="s">
        <v>96</v>
      </c>
      <c r="D40" s="32"/>
      <c r="E40" s="35"/>
      <c r="F40" s="32">
        <v>1.5E-3</v>
      </c>
      <c r="G40" s="67">
        <v>1E-4</v>
      </c>
      <c r="H40" s="32" t="s">
        <v>16</v>
      </c>
      <c r="I40" s="38" t="str">
        <f>IF(G40="","",IF(AND(G40&lt;=F40),"Pass","Fail"))</f>
        <v>Pass</v>
      </c>
      <c r="J40" s="39" t="s">
        <v>14</v>
      </c>
      <c r="K40" s="40" t="s">
        <v>22</v>
      </c>
      <c r="L40" s="41"/>
      <c r="M40" s="41"/>
      <c r="N40" s="46"/>
      <c r="O40" s="58" t="s">
        <v>54</v>
      </c>
    </row>
    <row r="41" spans="1:15" s="23" customFormat="1" ht="26.25">
      <c r="A41" s="32">
        <f>SUBTOTAL(103,$B$2:B41)*1</f>
        <v>40</v>
      </c>
      <c r="B41" s="23" t="s">
        <v>93</v>
      </c>
      <c r="C41" s="23" t="s">
        <v>97</v>
      </c>
      <c r="D41" s="32"/>
      <c r="E41" s="35"/>
      <c r="F41" s="32">
        <v>1.5E-3</v>
      </c>
      <c r="G41" s="68">
        <v>1.4999999999999999E-4</v>
      </c>
      <c r="H41" s="32" t="s">
        <v>16</v>
      </c>
      <c r="I41" s="38" t="str">
        <f>IF(G41="","",IF(AND(G41&lt;=F41),"Pass","Fail"))</f>
        <v>Pass</v>
      </c>
      <c r="J41" s="39" t="s">
        <v>14</v>
      </c>
      <c r="K41" s="40" t="s">
        <v>22</v>
      </c>
      <c r="L41" s="41"/>
      <c r="M41" s="41"/>
      <c r="N41" s="46"/>
      <c r="O41" s="58" t="s">
        <v>54</v>
      </c>
    </row>
    <row r="42" spans="1:15" s="23" customFormat="1" ht="26.25">
      <c r="A42" s="32">
        <f>SUBTOTAL(103,$B$2:B42)*1</f>
        <v>41</v>
      </c>
      <c r="B42" s="28" t="s">
        <v>98</v>
      </c>
      <c r="C42" s="61" t="s">
        <v>99</v>
      </c>
      <c r="D42" s="32"/>
      <c r="E42" s="35" t="s">
        <v>100</v>
      </c>
      <c r="F42" s="32"/>
      <c r="G42" s="37" t="s">
        <v>100</v>
      </c>
      <c r="H42" s="32" t="s">
        <v>83</v>
      </c>
      <c r="I42" s="38" t="s">
        <v>19</v>
      </c>
      <c r="J42" s="39" t="s">
        <v>14</v>
      </c>
      <c r="K42" s="40" t="s">
        <v>22</v>
      </c>
      <c r="L42" s="52"/>
      <c r="M42" s="52"/>
      <c r="N42" s="69" t="s">
        <v>101</v>
      </c>
      <c r="O42" s="43"/>
    </row>
    <row r="43" spans="1:15" s="23" customFormat="1" ht="26.25">
      <c r="A43" s="32">
        <f>SUBTOTAL(103,$B$2:B43)*1</f>
        <v>42</v>
      </c>
      <c r="B43" s="23" t="s">
        <v>102</v>
      </c>
      <c r="C43" s="23" t="s">
        <v>103</v>
      </c>
      <c r="D43" s="32"/>
      <c r="E43" s="35" t="s">
        <v>48</v>
      </c>
      <c r="F43" s="32"/>
      <c r="G43" s="37" t="s">
        <v>48</v>
      </c>
      <c r="H43" s="32" t="s">
        <v>16</v>
      </c>
      <c r="I43" s="38" t="str">
        <f>IF(G43="","",IF(G43=E43,"Pass","Fail"))</f>
        <v>Pass</v>
      </c>
      <c r="J43" s="39" t="s">
        <v>14</v>
      </c>
      <c r="K43" s="40"/>
      <c r="L43" s="52"/>
      <c r="M43" s="52"/>
      <c r="N43" s="53"/>
      <c r="O43" s="58" t="s">
        <v>54</v>
      </c>
    </row>
    <row r="44" spans="1:15" s="23" customFormat="1" ht="26.25">
      <c r="A44" s="32">
        <f>SUBTOTAL(103,$B$2:B44)*1</f>
        <v>43</v>
      </c>
      <c r="B44" s="23" t="s">
        <v>102</v>
      </c>
      <c r="C44" s="23" t="s">
        <v>104</v>
      </c>
      <c r="D44" s="32"/>
      <c r="E44" s="35"/>
      <c r="F44" s="32"/>
      <c r="G44" s="37">
        <v>0.23</v>
      </c>
      <c r="H44" s="32" t="s">
        <v>16</v>
      </c>
      <c r="I44" s="38" t="s">
        <v>19</v>
      </c>
      <c r="J44" s="39" t="s">
        <v>14</v>
      </c>
      <c r="K44" s="40" t="s">
        <v>22</v>
      </c>
      <c r="L44" s="41"/>
      <c r="M44" s="41"/>
      <c r="N44" s="46" t="s">
        <v>105</v>
      </c>
      <c r="O44" s="58" t="s">
        <v>54</v>
      </c>
    </row>
    <row r="45" spans="1:15" s="23" customFormat="1" ht="26.25">
      <c r="A45" s="32">
        <f>SUBTOTAL(103,$B$2:B45)*1</f>
        <v>44</v>
      </c>
      <c r="B45" s="23" t="s">
        <v>106</v>
      </c>
      <c r="C45" s="23" t="s">
        <v>107</v>
      </c>
      <c r="D45" s="32">
        <v>150</v>
      </c>
      <c r="E45" s="35"/>
      <c r="F45" s="32">
        <v>240</v>
      </c>
      <c r="G45" s="45">
        <v>185.6</v>
      </c>
      <c r="H45" s="32" t="s">
        <v>83</v>
      </c>
      <c r="I45" s="38" t="str">
        <f t="shared" ref="I45:I57" si="1">IF(G45="","",IF(AND(G45&gt;=D45,G45&lt;=F45),"Pass","Fail"))</f>
        <v>Pass</v>
      </c>
      <c r="J45" s="39" t="s">
        <v>14</v>
      </c>
      <c r="K45" s="40" t="s">
        <v>22</v>
      </c>
      <c r="L45" s="41"/>
      <c r="M45" s="41"/>
      <c r="N45" s="46" t="s">
        <v>84</v>
      </c>
      <c r="O45" s="58" t="s">
        <v>54</v>
      </c>
    </row>
    <row r="46" spans="1:15" s="23" customFormat="1" ht="26.25">
      <c r="A46" s="32">
        <f>SUBTOTAL(103,$B$2:B46)*1</f>
        <v>45</v>
      </c>
      <c r="B46" s="23" t="s">
        <v>106</v>
      </c>
      <c r="C46" s="23" t="s">
        <v>108</v>
      </c>
      <c r="D46" s="32">
        <v>150</v>
      </c>
      <c r="E46" s="35"/>
      <c r="F46" s="32">
        <v>240</v>
      </c>
      <c r="G46" s="45">
        <v>180.6</v>
      </c>
      <c r="H46" s="32" t="s">
        <v>83</v>
      </c>
      <c r="I46" s="38" t="str">
        <f t="shared" si="1"/>
        <v>Pass</v>
      </c>
      <c r="J46" s="39" t="s">
        <v>14</v>
      </c>
      <c r="K46" s="40" t="s">
        <v>22</v>
      </c>
      <c r="L46" s="41"/>
      <c r="M46" s="41"/>
      <c r="N46" s="46" t="s">
        <v>84</v>
      </c>
      <c r="O46" s="58" t="s">
        <v>54</v>
      </c>
    </row>
    <row r="47" spans="1:15" s="23" customFormat="1" ht="26.25">
      <c r="A47" s="32">
        <f>SUBTOTAL(103,$B$2:B47)*1</f>
        <v>46</v>
      </c>
      <c r="B47" s="23" t="s">
        <v>106</v>
      </c>
      <c r="C47" s="23" t="s">
        <v>109</v>
      </c>
      <c r="D47" s="32">
        <v>150</v>
      </c>
      <c r="E47" s="35"/>
      <c r="F47" s="32">
        <v>240</v>
      </c>
      <c r="G47" s="45">
        <v>190.6</v>
      </c>
      <c r="H47" s="32" t="s">
        <v>83</v>
      </c>
      <c r="I47" s="38" t="str">
        <f t="shared" si="1"/>
        <v>Pass</v>
      </c>
      <c r="J47" s="39" t="s">
        <v>14</v>
      </c>
      <c r="K47" s="40" t="s">
        <v>22</v>
      </c>
      <c r="L47" s="41"/>
      <c r="M47" s="41"/>
      <c r="N47" s="46" t="s">
        <v>84</v>
      </c>
      <c r="O47" s="58" t="s">
        <v>54</v>
      </c>
    </row>
    <row r="48" spans="1:15" s="23" customFormat="1" ht="26.25">
      <c r="A48" s="32">
        <f>SUBTOTAL(103,$B$2:B48)*1</f>
        <v>47</v>
      </c>
      <c r="B48" s="23" t="s">
        <v>106</v>
      </c>
      <c r="C48" s="23" t="s">
        <v>110</v>
      </c>
      <c r="D48" s="32">
        <v>150</v>
      </c>
      <c r="E48" s="35"/>
      <c r="F48" s="32">
        <v>240</v>
      </c>
      <c r="G48" s="45">
        <v>186.5</v>
      </c>
      <c r="H48" s="32" t="s">
        <v>83</v>
      </c>
      <c r="I48" s="38" t="str">
        <f t="shared" si="1"/>
        <v>Pass</v>
      </c>
      <c r="J48" s="39" t="s">
        <v>14</v>
      </c>
      <c r="K48" s="40" t="s">
        <v>22</v>
      </c>
      <c r="L48" s="41"/>
      <c r="M48" s="41"/>
      <c r="N48" s="46" t="s">
        <v>84</v>
      </c>
      <c r="O48" s="58" t="s">
        <v>54</v>
      </c>
    </row>
    <row r="49" spans="1:16" s="23" customFormat="1" ht="26.25">
      <c r="A49" s="32">
        <f>SUBTOTAL(103,$B$2:B49)*1</f>
        <v>48</v>
      </c>
      <c r="B49" s="23" t="s">
        <v>106</v>
      </c>
      <c r="C49" s="23" t="s">
        <v>111</v>
      </c>
      <c r="D49" s="32">
        <v>150</v>
      </c>
      <c r="E49" s="35"/>
      <c r="F49" s="32">
        <v>240</v>
      </c>
      <c r="G49" s="45">
        <v>188.7</v>
      </c>
      <c r="H49" s="32" t="s">
        <v>83</v>
      </c>
      <c r="I49" s="38" t="str">
        <f t="shared" si="1"/>
        <v>Pass</v>
      </c>
      <c r="J49" s="39" t="s">
        <v>14</v>
      </c>
      <c r="K49" s="40" t="s">
        <v>22</v>
      </c>
      <c r="L49" s="41"/>
      <c r="M49" s="41"/>
      <c r="N49" s="46" t="s">
        <v>84</v>
      </c>
      <c r="O49" s="58" t="s">
        <v>54</v>
      </c>
    </row>
    <row r="50" spans="1:16" s="23" customFormat="1" ht="26.25">
      <c r="A50" s="32">
        <f>SUBTOTAL(103,$B$2:B50)*1</f>
        <v>49</v>
      </c>
      <c r="B50" s="23" t="s">
        <v>106</v>
      </c>
      <c r="C50" s="23" t="s">
        <v>112</v>
      </c>
      <c r="D50" s="32">
        <v>150</v>
      </c>
      <c r="E50" s="35"/>
      <c r="F50" s="32">
        <v>240</v>
      </c>
      <c r="G50" s="45">
        <v>184.4</v>
      </c>
      <c r="H50" s="32" t="s">
        <v>83</v>
      </c>
      <c r="I50" s="38" t="str">
        <f t="shared" si="1"/>
        <v>Pass</v>
      </c>
      <c r="J50" s="39" t="s">
        <v>14</v>
      </c>
      <c r="K50" s="40" t="s">
        <v>22</v>
      </c>
      <c r="L50" s="41"/>
      <c r="M50" s="41"/>
      <c r="N50" s="46" t="s">
        <v>84</v>
      </c>
      <c r="O50" s="58" t="s">
        <v>54</v>
      </c>
    </row>
    <row r="51" spans="1:16" s="23" customFormat="1" ht="26.25">
      <c r="A51" s="32">
        <f>SUBTOTAL(103,$B$2:B51)*1</f>
        <v>50</v>
      </c>
      <c r="B51" s="23" t="s">
        <v>106</v>
      </c>
      <c r="C51" s="23" t="s">
        <v>113</v>
      </c>
      <c r="D51" s="36">
        <v>11</v>
      </c>
      <c r="E51" s="70"/>
      <c r="F51" s="36">
        <v>17</v>
      </c>
      <c r="G51" s="37">
        <v>14.48</v>
      </c>
      <c r="H51" s="32" t="s">
        <v>60</v>
      </c>
      <c r="I51" s="38" t="str">
        <f t="shared" si="1"/>
        <v>Pass</v>
      </c>
      <c r="J51" s="39" t="s">
        <v>14</v>
      </c>
      <c r="K51" s="40" t="s">
        <v>22</v>
      </c>
      <c r="L51" s="41"/>
      <c r="M51" s="41"/>
      <c r="N51" s="46" t="s">
        <v>84</v>
      </c>
      <c r="O51" s="58" t="s">
        <v>54</v>
      </c>
    </row>
    <row r="52" spans="1:16" s="23" customFormat="1" ht="26.25">
      <c r="A52" s="32">
        <f>SUBTOTAL(103,$B$2:B52)*1</f>
        <v>51</v>
      </c>
      <c r="B52" s="23" t="s">
        <v>106</v>
      </c>
      <c r="C52" s="23" t="s">
        <v>114</v>
      </c>
      <c r="D52" s="36">
        <v>11</v>
      </c>
      <c r="E52" s="70"/>
      <c r="F52" s="36">
        <v>17</v>
      </c>
      <c r="G52" s="37">
        <v>14.56</v>
      </c>
      <c r="H52" s="32" t="s">
        <v>60</v>
      </c>
      <c r="I52" s="38" t="str">
        <f t="shared" si="1"/>
        <v>Pass</v>
      </c>
      <c r="J52" s="39" t="s">
        <v>14</v>
      </c>
      <c r="K52" s="40" t="s">
        <v>22</v>
      </c>
      <c r="L52" s="41"/>
      <c r="M52" s="41"/>
      <c r="N52" s="46" t="s">
        <v>84</v>
      </c>
      <c r="O52" s="58" t="s">
        <v>54</v>
      </c>
    </row>
    <row r="53" spans="1:16" s="23" customFormat="1" ht="26.25">
      <c r="A53" s="32">
        <f>SUBTOTAL(103,$B$2:B53)*1</f>
        <v>52</v>
      </c>
      <c r="B53" s="23" t="s">
        <v>106</v>
      </c>
      <c r="C53" s="23" t="s">
        <v>115</v>
      </c>
      <c r="D53" s="36">
        <v>11</v>
      </c>
      <c r="E53" s="70"/>
      <c r="F53" s="36">
        <v>17</v>
      </c>
      <c r="G53" s="37">
        <v>14.66</v>
      </c>
      <c r="H53" s="32" t="s">
        <v>60</v>
      </c>
      <c r="I53" s="38" t="str">
        <f t="shared" si="1"/>
        <v>Pass</v>
      </c>
      <c r="J53" s="39" t="s">
        <v>14</v>
      </c>
      <c r="K53" s="40" t="s">
        <v>22</v>
      </c>
      <c r="L53" s="41"/>
      <c r="M53" s="41"/>
      <c r="N53" s="46" t="s">
        <v>84</v>
      </c>
      <c r="O53" s="58" t="s">
        <v>54</v>
      </c>
    </row>
    <row r="54" spans="1:16" s="23" customFormat="1" ht="26.25">
      <c r="A54" s="32">
        <f>SUBTOTAL(103,$B$2:B54)*1</f>
        <v>53</v>
      </c>
      <c r="B54" s="23" t="s">
        <v>106</v>
      </c>
      <c r="C54" s="23" t="s">
        <v>116</v>
      </c>
      <c r="D54" s="36">
        <v>11</v>
      </c>
      <c r="E54" s="70"/>
      <c r="F54" s="36">
        <v>17</v>
      </c>
      <c r="G54" s="50">
        <v>15.5</v>
      </c>
      <c r="H54" s="32" t="s">
        <v>60</v>
      </c>
      <c r="I54" s="38" t="str">
        <f t="shared" si="1"/>
        <v>Pass</v>
      </c>
      <c r="J54" s="39" t="s">
        <v>14</v>
      </c>
      <c r="K54" s="40" t="s">
        <v>22</v>
      </c>
      <c r="L54" s="41"/>
      <c r="M54" s="41"/>
      <c r="N54" s="46" t="s">
        <v>84</v>
      </c>
      <c r="O54" s="58" t="s">
        <v>54</v>
      </c>
    </row>
    <row r="55" spans="1:16" s="23" customFormat="1" ht="26.25">
      <c r="A55" s="32">
        <f>SUBTOTAL(103,$B$2:B55)*1</f>
        <v>54</v>
      </c>
      <c r="B55" s="23" t="s">
        <v>106</v>
      </c>
      <c r="C55" s="23" t="s">
        <v>117</v>
      </c>
      <c r="D55" s="32">
        <v>89.7</v>
      </c>
      <c r="E55" s="35">
        <v>90</v>
      </c>
      <c r="F55" s="32">
        <v>90.3</v>
      </c>
      <c r="G55" s="50">
        <v>90</v>
      </c>
      <c r="H55" s="32" t="s">
        <v>118</v>
      </c>
      <c r="I55" s="38" t="str">
        <f t="shared" si="1"/>
        <v>Pass</v>
      </c>
      <c r="J55" s="39" t="s">
        <v>14</v>
      </c>
      <c r="K55" s="40" t="s">
        <v>22</v>
      </c>
      <c r="L55" s="52"/>
      <c r="M55" s="52"/>
      <c r="N55" s="46" t="s">
        <v>119</v>
      </c>
      <c r="O55" s="58" t="s">
        <v>54</v>
      </c>
    </row>
    <row r="56" spans="1:16" s="23" customFormat="1" ht="26.25">
      <c r="A56" s="32">
        <f>SUBTOTAL(103,$B$2:B56)*1</f>
        <v>55</v>
      </c>
      <c r="B56" s="23" t="s">
        <v>106</v>
      </c>
      <c r="C56" s="23" t="s">
        <v>120</v>
      </c>
      <c r="D56" s="36">
        <v>0</v>
      </c>
      <c r="E56" s="70"/>
      <c r="F56" s="36">
        <v>4</v>
      </c>
      <c r="G56" s="37">
        <v>2.95</v>
      </c>
      <c r="H56" s="32" t="s">
        <v>25</v>
      </c>
      <c r="I56" s="38" t="str">
        <f t="shared" si="1"/>
        <v>Pass</v>
      </c>
      <c r="J56" s="39" t="s">
        <v>14</v>
      </c>
      <c r="K56" s="40" t="s">
        <v>22</v>
      </c>
      <c r="L56" s="41"/>
      <c r="M56" s="41"/>
      <c r="N56" s="53"/>
      <c r="O56" s="71" t="s">
        <v>54</v>
      </c>
      <c r="P56" s="43"/>
    </row>
    <row r="57" spans="1:16" s="23" customFormat="1" ht="26.25">
      <c r="A57" s="32">
        <f>SUBTOTAL(103,$B$2:B57)*1</f>
        <v>56</v>
      </c>
      <c r="B57" s="23" t="s">
        <v>106</v>
      </c>
      <c r="C57" s="23" t="s">
        <v>121</v>
      </c>
      <c r="D57" s="36">
        <v>0</v>
      </c>
      <c r="E57" s="70"/>
      <c r="F57" s="36">
        <v>4</v>
      </c>
      <c r="G57" s="37">
        <v>2.91</v>
      </c>
      <c r="H57" s="32" t="s">
        <v>25</v>
      </c>
      <c r="I57" s="38" t="str">
        <f t="shared" si="1"/>
        <v>Pass</v>
      </c>
      <c r="J57" s="39" t="s">
        <v>14</v>
      </c>
      <c r="K57" s="40" t="s">
        <v>22</v>
      </c>
      <c r="L57" s="41"/>
      <c r="M57" s="41"/>
      <c r="N57" s="53"/>
      <c r="O57" s="71" t="s">
        <v>54</v>
      </c>
      <c r="P57" s="43"/>
    </row>
    <row r="58" spans="1:16" s="23" customFormat="1" ht="26.25">
      <c r="A58" s="32">
        <f>SUBTOTAL(103,$B$2:B58)*1</f>
        <v>57</v>
      </c>
      <c r="B58" s="23" t="s">
        <v>106</v>
      </c>
      <c r="C58" s="23" t="s">
        <v>122</v>
      </c>
      <c r="D58" s="32"/>
      <c r="E58" s="35"/>
      <c r="F58" s="36">
        <v>4</v>
      </c>
      <c r="G58" s="50">
        <v>1.06</v>
      </c>
      <c r="H58" s="32" t="s">
        <v>18</v>
      </c>
      <c r="I58" s="38" t="str">
        <f>IF(G58="","",IF(AND(G58&lt;=F58),"Pass","Fail"))</f>
        <v>Pass</v>
      </c>
      <c r="J58" s="39" t="s">
        <v>14</v>
      </c>
      <c r="K58" s="40" t="s">
        <v>22</v>
      </c>
      <c r="L58" s="41"/>
      <c r="M58" s="41"/>
      <c r="N58" s="46" t="s">
        <v>123</v>
      </c>
      <c r="O58" s="58" t="s">
        <v>54</v>
      </c>
    </row>
    <row r="59" spans="1:16" s="23" customFormat="1" ht="26.25">
      <c r="A59" s="32">
        <f>SUBTOTAL(103,$B$2:B59)*1</f>
        <v>58</v>
      </c>
      <c r="B59" s="23" t="s">
        <v>106</v>
      </c>
      <c r="C59" s="23" t="s">
        <v>124</v>
      </c>
      <c r="D59" s="32"/>
      <c r="E59" s="35"/>
      <c r="F59" s="36">
        <v>4</v>
      </c>
      <c r="G59" s="50">
        <v>0.62</v>
      </c>
      <c r="H59" s="32" t="s">
        <v>18</v>
      </c>
      <c r="I59" s="38" t="str">
        <f>IF(G59="","",IF(AND(G59&lt;=F59),"Pass","Fail"))</f>
        <v>Pass</v>
      </c>
      <c r="J59" s="39" t="s">
        <v>14</v>
      </c>
      <c r="K59" s="40" t="s">
        <v>22</v>
      </c>
      <c r="L59" s="41"/>
      <c r="M59" s="41"/>
      <c r="N59" s="46" t="s">
        <v>123</v>
      </c>
      <c r="O59" s="58" t="s">
        <v>54</v>
      </c>
    </row>
    <row r="60" spans="1:16" s="23" customFormat="1" ht="26.25">
      <c r="A60" s="32">
        <f>SUBTOTAL(103,$B$2:B60)*1</f>
        <v>59</v>
      </c>
      <c r="B60" s="23" t="s">
        <v>106</v>
      </c>
      <c r="C60" s="23" t="s">
        <v>125</v>
      </c>
      <c r="D60" s="32"/>
      <c r="E60" s="35" t="s">
        <v>48</v>
      </c>
      <c r="F60" s="36"/>
      <c r="G60" s="50" t="s">
        <v>48</v>
      </c>
      <c r="H60" s="32" t="s">
        <v>16</v>
      </c>
      <c r="I60" s="38" t="str">
        <f>IF(G60="","",IF(G60=E60,"Pass","Fail"))</f>
        <v>Pass</v>
      </c>
      <c r="J60" s="39" t="s">
        <v>14</v>
      </c>
      <c r="K60" s="40"/>
      <c r="L60" s="52"/>
      <c r="M60" s="52"/>
      <c r="N60" s="46" t="s">
        <v>126</v>
      </c>
      <c r="O60" s="58" t="s">
        <v>54</v>
      </c>
    </row>
    <row r="61" spans="1:16" s="23" customFormat="1" ht="26.25">
      <c r="A61" s="32">
        <f>SUBTOTAL(103,$B$2:B61)*1</f>
        <v>60</v>
      </c>
      <c r="B61" s="23" t="s">
        <v>106</v>
      </c>
      <c r="C61" s="23" t="s">
        <v>127</v>
      </c>
      <c r="D61" s="32"/>
      <c r="E61" s="35"/>
      <c r="F61" s="36">
        <v>1</v>
      </c>
      <c r="G61" s="50">
        <v>0.36</v>
      </c>
      <c r="H61" s="32" t="s">
        <v>18</v>
      </c>
      <c r="I61" s="38" t="str">
        <f t="shared" ref="I61:I68" si="2">IF(G61="","",IF(AND(G61&lt;=F61),"Pass","Fail"))</f>
        <v>Pass</v>
      </c>
      <c r="J61" s="39" t="s">
        <v>14</v>
      </c>
      <c r="K61" s="40" t="s">
        <v>22</v>
      </c>
      <c r="L61" s="41"/>
      <c r="M61" s="41"/>
      <c r="N61" s="46" t="s">
        <v>128</v>
      </c>
      <c r="O61" s="58" t="s">
        <v>54</v>
      </c>
    </row>
    <row r="62" spans="1:16" s="23" customFormat="1" ht="26.25">
      <c r="A62" s="32">
        <f>SUBTOTAL(103,$B$2:B62)*1</f>
        <v>61</v>
      </c>
      <c r="B62" s="23" t="s">
        <v>106</v>
      </c>
      <c r="C62" s="23" t="s">
        <v>129</v>
      </c>
      <c r="D62" s="32"/>
      <c r="E62" s="35"/>
      <c r="F62" s="36">
        <v>1</v>
      </c>
      <c r="G62" s="50">
        <v>0.49</v>
      </c>
      <c r="H62" s="32" t="s">
        <v>18</v>
      </c>
      <c r="I62" s="38" t="str">
        <f t="shared" si="2"/>
        <v>Pass</v>
      </c>
      <c r="J62" s="39" t="s">
        <v>14</v>
      </c>
      <c r="K62" s="40" t="s">
        <v>22</v>
      </c>
      <c r="L62" s="41"/>
      <c r="M62" s="41"/>
      <c r="N62" s="46" t="s">
        <v>128</v>
      </c>
      <c r="O62" s="58" t="s">
        <v>54</v>
      </c>
    </row>
    <row r="63" spans="1:16" s="23" customFormat="1" ht="26.25">
      <c r="A63" s="32">
        <f>SUBTOTAL(103,$B$2:B63)*1</f>
        <v>62</v>
      </c>
      <c r="B63" s="23" t="s">
        <v>106</v>
      </c>
      <c r="C63" s="23" t="s">
        <v>130</v>
      </c>
      <c r="D63" s="32"/>
      <c r="E63" s="35"/>
      <c r="F63" s="36">
        <v>0.4</v>
      </c>
      <c r="G63" s="50">
        <v>0.34</v>
      </c>
      <c r="H63" s="32" t="s">
        <v>18</v>
      </c>
      <c r="I63" s="38" t="str">
        <f t="shared" si="2"/>
        <v>Pass</v>
      </c>
      <c r="J63" s="39" t="s">
        <v>14</v>
      </c>
      <c r="K63" s="40" t="s">
        <v>22</v>
      </c>
      <c r="L63" s="41"/>
      <c r="M63" s="41"/>
      <c r="N63" s="46" t="s">
        <v>131</v>
      </c>
      <c r="O63" s="58" t="s">
        <v>54</v>
      </c>
    </row>
    <row r="64" spans="1:16" s="23" customFormat="1" ht="26.25">
      <c r="A64" s="32">
        <f>SUBTOTAL(103,$B$2:B64)*1</f>
        <v>63</v>
      </c>
      <c r="B64" s="23" t="s">
        <v>106</v>
      </c>
      <c r="C64" s="23" t="s">
        <v>132</v>
      </c>
      <c r="D64" s="32"/>
      <c r="E64" s="35"/>
      <c r="F64" s="36">
        <v>0.4</v>
      </c>
      <c r="G64" s="50">
        <v>0.35</v>
      </c>
      <c r="H64" s="32" t="s">
        <v>18</v>
      </c>
      <c r="I64" s="38" t="str">
        <f t="shared" si="2"/>
        <v>Pass</v>
      </c>
      <c r="J64" s="39" t="s">
        <v>14</v>
      </c>
      <c r="K64" s="40" t="s">
        <v>22</v>
      </c>
      <c r="L64" s="41"/>
      <c r="M64" s="41"/>
      <c r="N64" s="46" t="s">
        <v>133</v>
      </c>
      <c r="O64" s="58" t="s">
        <v>54</v>
      </c>
    </row>
    <row r="65" spans="1:15" s="23" customFormat="1" ht="26.25">
      <c r="A65" s="32">
        <f>SUBTOTAL(103,$B$2:B65)*1</f>
        <v>64</v>
      </c>
      <c r="B65" s="23" t="s">
        <v>106</v>
      </c>
      <c r="C65" s="23" t="s">
        <v>134</v>
      </c>
      <c r="D65" s="32"/>
      <c r="E65" s="35"/>
      <c r="F65" s="36">
        <v>0.5</v>
      </c>
      <c r="G65" s="50">
        <v>0.46</v>
      </c>
      <c r="H65" s="32" t="s">
        <v>18</v>
      </c>
      <c r="I65" s="38" t="str">
        <f t="shared" si="2"/>
        <v>Pass</v>
      </c>
      <c r="J65" s="39" t="s">
        <v>14</v>
      </c>
      <c r="K65" s="40" t="s">
        <v>22</v>
      </c>
      <c r="L65" s="41"/>
      <c r="M65" s="41"/>
      <c r="N65" s="46" t="s">
        <v>135</v>
      </c>
      <c r="O65" s="58" t="s">
        <v>54</v>
      </c>
    </row>
    <row r="66" spans="1:15" s="23" customFormat="1" ht="26.25">
      <c r="A66" s="32">
        <f>SUBTOTAL(103,$B$2:B66)*1</f>
        <v>65</v>
      </c>
      <c r="B66" s="23" t="s">
        <v>106</v>
      </c>
      <c r="C66" s="23" t="s">
        <v>136</v>
      </c>
      <c r="D66" s="32"/>
      <c r="E66" s="35"/>
      <c r="F66" s="36">
        <v>0.5</v>
      </c>
      <c r="G66" s="50">
        <v>0.45</v>
      </c>
      <c r="H66" s="32" t="s">
        <v>18</v>
      </c>
      <c r="I66" s="38" t="str">
        <f t="shared" si="2"/>
        <v>Pass</v>
      </c>
      <c r="J66" s="39" t="s">
        <v>14</v>
      </c>
      <c r="K66" s="40" t="s">
        <v>22</v>
      </c>
      <c r="L66" s="41"/>
      <c r="M66" s="41"/>
      <c r="N66" s="46" t="s">
        <v>137</v>
      </c>
      <c r="O66" s="58" t="s">
        <v>54</v>
      </c>
    </row>
    <row r="67" spans="1:15" s="23" customFormat="1" ht="26.25">
      <c r="A67" s="32">
        <f>SUBTOTAL(103,$B$2:B67)*1</f>
        <v>66</v>
      </c>
      <c r="B67" s="23" t="s">
        <v>106</v>
      </c>
      <c r="C67" s="23" t="s">
        <v>138</v>
      </c>
      <c r="D67" s="32"/>
      <c r="E67" s="35"/>
      <c r="F67" s="36">
        <v>0.5</v>
      </c>
      <c r="G67" s="50">
        <v>0.45</v>
      </c>
      <c r="H67" s="32" t="s">
        <v>18</v>
      </c>
      <c r="I67" s="38" t="str">
        <f t="shared" si="2"/>
        <v>Pass</v>
      </c>
      <c r="J67" s="39" t="s">
        <v>14</v>
      </c>
      <c r="K67" s="40" t="s">
        <v>22</v>
      </c>
      <c r="L67" s="41"/>
      <c r="M67" s="41"/>
      <c r="N67" s="46" t="s">
        <v>135</v>
      </c>
      <c r="O67" s="58" t="s">
        <v>54</v>
      </c>
    </row>
    <row r="68" spans="1:15" s="23" customFormat="1" ht="26.25">
      <c r="A68" s="32">
        <f>SUBTOTAL(103,$B$2:B68)*1</f>
        <v>67</v>
      </c>
      <c r="B68" s="23" t="s">
        <v>106</v>
      </c>
      <c r="C68" s="23" t="s">
        <v>139</v>
      </c>
      <c r="D68" s="32"/>
      <c r="E68" s="35"/>
      <c r="F68" s="36">
        <v>0.5</v>
      </c>
      <c r="G68" s="50">
        <v>0.46</v>
      </c>
      <c r="H68" s="32" t="s">
        <v>18</v>
      </c>
      <c r="I68" s="38" t="str">
        <f t="shared" si="2"/>
        <v>Pass</v>
      </c>
      <c r="J68" s="39" t="s">
        <v>14</v>
      </c>
      <c r="K68" s="40" t="s">
        <v>22</v>
      </c>
      <c r="L68" s="41"/>
      <c r="M68" s="41"/>
      <c r="N68" s="46" t="s">
        <v>137</v>
      </c>
      <c r="O68" s="58" t="s">
        <v>54</v>
      </c>
    </row>
    <row r="69" spans="1:15" s="23" customFormat="1" ht="26.25">
      <c r="A69" s="32">
        <f>SUBTOTAL(103,$B$2:B69)*1</f>
        <v>68</v>
      </c>
      <c r="B69" s="23" t="s">
        <v>106</v>
      </c>
      <c r="C69" s="23" t="s">
        <v>140</v>
      </c>
      <c r="D69" s="32"/>
      <c r="E69" s="35">
        <v>200</v>
      </c>
      <c r="F69" s="32"/>
      <c r="G69" s="37">
        <v>200</v>
      </c>
      <c r="H69" s="32" t="s">
        <v>141</v>
      </c>
      <c r="I69" s="38" t="str">
        <f>IF(G69="","",IF(G69=E69,"Pass",""))</f>
        <v>Pass</v>
      </c>
      <c r="J69" s="39" t="s">
        <v>14</v>
      </c>
      <c r="K69" s="40" t="s">
        <v>22</v>
      </c>
      <c r="L69" s="53"/>
      <c r="M69" s="53"/>
      <c r="N69" s="46" t="s">
        <v>142</v>
      </c>
      <c r="O69" s="58" t="s">
        <v>54</v>
      </c>
    </row>
    <row r="70" spans="1:15" s="23" customFormat="1" ht="26.25">
      <c r="A70" s="32">
        <f>SUBTOTAL(103,$B$2:B70)*1</f>
        <v>69</v>
      </c>
      <c r="B70" s="23" t="s">
        <v>106</v>
      </c>
      <c r="C70" s="23" t="s">
        <v>143</v>
      </c>
      <c r="D70" s="32"/>
      <c r="E70" s="35">
        <v>80</v>
      </c>
      <c r="F70" s="32"/>
      <c r="G70" s="37">
        <v>80</v>
      </c>
      <c r="H70" s="32" t="s">
        <v>141</v>
      </c>
      <c r="I70" s="38" t="str">
        <f>IF(G70="","",IF(G70=E70,"Pass",""))</f>
        <v>Pass</v>
      </c>
      <c r="J70" s="39" t="s">
        <v>14</v>
      </c>
      <c r="K70" s="40" t="s">
        <v>22</v>
      </c>
      <c r="L70" s="53"/>
      <c r="M70" s="53"/>
      <c r="N70" s="46" t="s">
        <v>144</v>
      </c>
      <c r="O70" s="58" t="s">
        <v>54</v>
      </c>
    </row>
    <row r="71" spans="1:15" s="23" customFormat="1" ht="26.25">
      <c r="A71" s="32">
        <f>SUBTOTAL(103,$B$2:B71)*1</f>
        <v>70</v>
      </c>
      <c r="B71" s="28" t="s">
        <v>145</v>
      </c>
      <c r="C71" s="72" t="s">
        <v>146</v>
      </c>
      <c r="D71" s="73"/>
      <c r="E71" s="35"/>
      <c r="F71" s="36">
        <v>200</v>
      </c>
      <c r="G71" s="50">
        <v>60.79</v>
      </c>
      <c r="H71" s="32" t="s">
        <v>18</v>
      </c>
      <c r="I71" s="38" t="str">
        <f t="shared" ref="I71:I95" si="3">IF(G71="","",IF(AND(G71&lt;=F71),"Pass","Fail"))</f>
        <v>Pass</v>
      </c>
      <c r="J71" s="39" t="s">
        <v>14</v>
      </c>
      <c r="K71" s="40" t="s">
        <v>22</v>
      </c>
      <c r="L71" s="41"/>
      <c r="M71" s="41"/>
      <c r="N71" s="69" t="s">
        <v>147</v>
      </c>
      <c r="O71" s="43"/>
    </row>
    <row r="72" spans="1:15" s="23" customFormat="1" ht="26.25">
      <c r="A72" s="32">
        <f>SUBTOTAL(103,$B$2:B72)*1</f>
        <v>71</v>
      </c>
      <c r="B72" s="28" t="s">
        <v>145</v>
      </c>
      <c r="C72" s="72" t="s">
        <v>148</v>
      </c>
      <c r="D72" s="73"/>
      <c r="E72" s="35"/>
      <c r="F72" s="36">
        <v>200</v>
      </c>
      <c r="G72" s="50">
        <v>63.72</v>
      </c>
      <c r="H72" s="32" t="s">
        <v>18</v>
      </c>
      <c r="I72" s="38" t="str">
        <f t="shared" si="3"/>
        <v>Pass</v>
      </c>
      <c r="J72" s="39" t="s">
        <v>14</v>
      </c>
      <c r="K72" s="40" t="s">
        <v>22</v>
      </c>
      <c r="L72" s="41"/>
      <c r="M72" s="41"/>
      <c r="N72" s="69" t="s">
        <v>149</v>
      </c>
      <c r="O72" s="74"/>
    </row>
    <row r="73" spans="1:15" s="23" customFormat="1" ht="26.25">
      <c r="A73" s="32">
        <f>SUBTOTAL(103,$B$2:B73)*1</f>
        <v>72</v>
      </c>
      <c r="B73" s="28" t="s">
        <v>145</v>
      </c>
      <c r="C73" s="72" t="s">
        <v>150</v>
      </c>
      <c r="D73" s="73"/>
      <c r="E73" s="35"/>
      <c r="F73" s="36">
        <v>200</v>
      </c>
      <c r="G73" s="50">
        <v>32.950000000000003</v>
      </c>
      <c r="H73" s="32" t="s">
        <v>18</v>
      </c>
      <c r="I73" s="38" t="str">
        <f t="shared" si="3"/>
        <v>Pass</v>
      </c>
      <c r="J73" s="39" t="s">
        <v>14</v>
      </c>
      <c r="K73" s="40" t="s">
        <v>22</v>
      </c>
      <c r="L73" s="41"/>
      <c r="M73" s="41"/>
      <c r="N73" s="69" t="s">
        <v>151</v>
      </c>
      <c r="O73" s="43"/>
    </row>
    <row r="74" spans="1:15" s="23" customFormat="1" ht="26.25">
      <c r="A74" s="32">
        <f>SUBTOTAL(103,$B$2:B74)*1</f>
        <v>73</v>
      </c>
      <c r="B74" s="28" t="s">
        <v>145</v>
      </c>
      <c r="C74" s="72" t="s">
        <v>152</v>
      </c>
      <c r="D74" s="73"/>
      <c r="E74" s="35"/>
      <c r="F74" s="36">
        <v>200</v>
      </c>
      <c r="G74" s="50">
        <v>19.04</v>
      </c>
      <c r="H74" s="32" t="s">
        <v>18</v>
      </c>
      <c r="I74" s="38" t="str">
        <f t="shared" si="3"/>
        <v>Pass</v>
      </c>
      <c r="J74" s="39" t="s">
        <v>14</v>
      </c>
      <c r="K74" s="40" t="s">
        <v>22</v>
      </c>
      <c r="L74" s="41"/>
      <c r="M74" s="41"/>
      <c r="N74" s="69" t="s">
        <v>153</v>
      </c>
      <c r="O74" s="74"/>
    </row>
    <row r="75" spans="1:15" s="23" customFormat="1" ht="26.25">
      <c r="A75" s="32">
        <f>SUBTOTAL(103,$B$2:B75)*1</f>
        <v>74</v>
      </c>
      <c r="B75" s="28" t="s">
        <v>145</v>
      </c>
      <c r="C75" s="72" t="s">
        <v>154</v>
      </c>
      <c r="D75" s="73"/>
      <c r="E75" s="35"/>
      <c r="F75" s="36">
        <v>200</v>
      </c>
      <c r="G75" s="50">
        <v>34.42</v>
      </c>
      <c r="H75" s="32" t="s">
        <v>18</v>
      </c>
      <c r="I75" s="38" t="str">
        <f t="shared" si="3"/>
        <v>Pass</v>
      </c>
      <c r="J75" s="39" t="s">
        <v>14</v>
      </c>
      <c r="K75" s="40" t="s">
        <v>22</v>
      </c>
      <c r="L75" s="41"/>
      <c r="M75" s="41"/>
      <c r="N75" s="69" t="s">
        <v>155</v>
      </c>
      <c r="O75" s="74"/>
    </row>
    <row r="76" spans="1:15" s="23" customFormat="1" ht="26.25">
      <c r="A76" s="32">
        <f>SUBTOTAL(103,$B$2:B76)*1</f>
        <v>75</v>
      </c>
      <c r="B76" s="28" t="s">
        <v>145</v>
      </c>
      <c r="C76" s="72" t="s">
        <v>156</v>
      </c>
      <c r="D76" s="73"/>
      <c r="E76" s="35"/>
      <c r="F76" s="36">
        <v>200</v>
      </c>
      <c r="G76" s="50">
        <v>194.09</v>
      </c>
      <c r="H76" s="32" t="s">
        <v>18</v>
      </c>
      <c r="I76" s="38" t="str">
        <f t="shared" si="3"/>
        <v>Pass</v>
      </c>
      <c r="J76" s="39" t="s">
        <v>14</v>
      </c>
      <c r="K76" s="40" t="s">
        <v>22</v>
      </c>
      <c r="L76" s="41"/>
      <c r="M76" s="41"/>
      <c r="N76" s="69" t="s">
        <v>157</v>
      </c>
      <c r="O76" s="74"/>
    </row>
    <row r="77" spans="1:15" s="23" customFormat="1" ht="26.25">
      <c r="A77" s="32">
        <f>SUBTOTAL(103,$B$2:B77)*1</f>
        <v>76</v>
      </c>
      <c r="B77" s="28" t="s">
        <v>145</v>
      </c>
      <c r="C77" s="72" t="s">
        <v>158</v>
      </c>
      <c r="D77" s="73"/>
      <c r="E77" s="35"/>
      <c r="F77" s="36">
        <v>200</v>
      </c>
      <c r="G77" s="50">
        <v>104</v>
      </c>
      <c r="H77" s="32" t="s">
        <v>18</v>
      </c>
      <c r="I77" s="38" t="str">
        <f t="shared" si="3"/>
        <v>Pass</v>
      </c>
      <c r="J77" s="39" t="s">
        <v>14</v>
      </c>
      <c r="K77" s="40" t="s">
        <v>22</v>
      </c>
      <c r="L77" s="41"/>
      <c r="M77" s="41"/>
      <c r="N77" s="69" t="s">
        <v>159</v>
      </c>
      <c r="O77" s="74"/>
    </row>
    <row r="78" spans="1:15" s="23" customFormat="1" ht="26.25">
      <c r="A78" s="32">
        <f>SUBTOTAL(103,$B$2:B78)*1</f>
        <v>77</v>
      </c>
      <c r="B78" s="28" t="s">
        <v>145</v>
      </c>
      <c r="C78" s="72" t="s">
        <v>160</v>
      </c>
      <c r="D78" s="73"/>
      <c r="E78" s="35"/>
      <c r="F78" s="36">
        <v>200</v>
      </c>
      <c r="G78" s="50">
        <v>21.97</v>
      </c>
      <c r="H78" s="32" t="s">
        <v>18</v>
      </c>
      <c r="I78" s="38" t="str">
        <f t="shared" si="3"/>
        <v>Pass</v>
      </c>
      <c r="J78" s="39" t="s">
        <v>14</v>
      </c>
      <c r="K78" s="40" t="s">
        <v>22</v>
      </c>
      <c r="L78" s="41"/>
      <c r="M78" s="41"/>
      <c r="N78" s="69" t="s">
        <v>161</v>
      </c>
      <c r="O78" s="74"/>
    </row>
    <row r="79" spans="1:15" s="23" customFormat="1" ht="26.25">
      <c r="A79" s="32">
        <f>SUBTOTAL(103,$B$2:B79)*1</f>
        <v>78</v>
      </c>
      <c r="B79" s="28" t="s">
        <v>145</v>
      </c>
      <c r="C79" s="23" t="s">
        <v>162</v>
      </c>
      <c r="D79" s="73"/>
      <c r="E79" s="35"/>
      <c r="F79" s="36">
        <v>1</v>
      </c>
      <c r="G79" s="50">
        <v>0.72</v>
      </c>
      <c r="H79" s="32" t="s">
        <v>83</v>
      </c>
      <c r="I79" s="38" t="str">
        <f t="shared" si="3"/>
        <v>Pass</v>
      </c>
      <c r="J79" s="39" t="s">
        <v>14</v>
      </c>
      <c r="K79" s="40" t="s">
        <v>22</v>
      </c>
      <c r="L79" s="41"/>
      <c r="M79" s="41"/>
      <c r="N79" s="46" t="s">
        <v>163</v>
      </c>
      <c r="O79" s="74"/>
    </row>
    <row r="80" spans="1:15" s="23" customFormat="1" ht="26.25">
      <c r="A80" s="32">
        <f>SUBTOTAL(103,$B$2:B80)*1</f>
        <v>79</v>
      </c>
      <c r="B80" s="28" t="s">
        <v>145</v>
      </c>
      <c r="C80" s="23" t="s">
        <v>164</v>
      </c>
      <c r="D80" s="73"/>
      <c r="E80" s="35"/>
      <c r="F80" s="36">
        <v>1</v>
      </c>
      <c r="G80" s="50">
        <v>0.83</v>
      </c>
      <c r="H80" s="32" t="s">
        <v>83</v>
      </c>
      <c r="I80" s="38" t="str">
        <f t="shared" si="3"/>
        <v>Pass</v>
      </c>
      <c r="J80" s="39" t="s">
        <v>14</v>
      </c>
      <c r="K80" s="40" t="s">
        <v>22</v>
      </c>
      <c r="L80" s="41"/>
      <c r="M80" s="41"/>
      <c r="N80" s="46" t="s">
        <v>163</v>
      </c>
      <c r="O80" s="74"/>
    </row>
    <row r="81" spans="1:15" s="23" customFormat="1" ht="26.25">
      <c r="A81" s="32">
        <f>SUBTOTAL(103,$B$2:B81)*1</f>
        <v>80</v>
      </c>
      <c r="B81" s="28" t="s">
        <v>145</v>
      </c>
      <c r="C81" s="23" t="s">
        <v>165</v>
      </c>
      <c r="D81" s="73"/>
      <c r="E81" s="35"/>
      <c r="F81" s="36">
        <v>0.2</v>
      </c>
      <c r="G81" s="50">
        <v>0.15</v>
      </c>
      <c r="H81" s="32" t="s">
        <v>83</v>
      </c>
      <c r="I81" s="38" t="str">
        <f t="shared" si="3"/>
        <v>Pass</v>
      </c>
      <c r="J81" s="39" t="s">
        <v>14</v>
      </c>
      <c r="K81" s="40" t="s">
        <v>22</v>
      </c>
      <c r="L81" s="41"/>
      <c r="M81" s="41"/>
      <c r="N81" s="46" t="s">
        <v>163</v>
      </c>
      <c r="O81" s="74"/>
    </row>
    <row r="82" spans="1:15" s="23" customFormat="1" ht="26.25">
      <c r="A82" s="32">
        <f>SUBTOTAL(103,$B$2:B82)*1</f>
        <v>81</v>
      </c>
      <c r="B82" s="28" t="s">
        <v>145</v>
      </c>
      <c r="C82" s="23" t="s">
        <v>166</v>
      </c>
      <c r="D82" s="73"/>
      <c r="E82" s="35"/>
      <c r="F82" s="36">
        <v>0.2</v>
      </c>
      <c r="G82" s="50">
        <v>0.17</v>
      </c>
      <c r="H82" s="32" t="s">
        <v>83</v>
      </c>
      <c r="I82" s="38" t="str">
        <f t="shared" si="3"/>
        <v>Pass</v>
      </c>
      <c r="J82" s="39" t="s">
        <v>14</v>
      </c>
      <c r="K82" s="40" t="s">
        <v>22</v>
      </c>
      <c r="L82" s="41"/>
      <c r="M82" s="41"/>
      <c r="N82" s="46" t="s">
        <v>163</v>
      </c>
      <c r="O82" s="74"/>
    </row>
    <row r="83" spans="1:15" s="23" customFormat="1" ht="26.25">
      <c r="A83" s="32">
        <f>SUBTOTAL(103,$B$2:B83)*1</f>
        <v>82</v>
      </c>
      <c r="B83" s="28" t="s">
        <v>145</v>
      </c>
      <c r="C83" s="23" t="s">
        <v>167</v>
      </c>
      <c r="D83" s="73"/>
      <c r="E83" s="35"/>
      <c r="F83" s="36">
        <v>2</v>
      </c>
      <c r="G83" s="50">
        <v>0.67</v>
      </c>
      <c r="H83" s="32" t="s">
        <v>83</v>
      </c>
      <c r="I83" s="38" t="str">
        <f t="shared" si="3"/>
        <v>Pass</v>
      </c>
      <c r="J83" s="39" t="s">
        <v>14</v>
      </c>
      <c r="K83" s="40" t="s">
        <v>22</v>
      </c>
      <c r="L83" s="41"/>
      <c r="M83" s="41"/>
      <c r="N83" s="46" t="s">
        <v>163</v>
      </c>
      <c r="O83" s="74"/>
    </row>
    <row r="84" spans="1:15" s="23" customFormat="1" ht="26.25">
      <c r="A84" s="32">
        <f>SUBTOTAL(103,$B$2:B84)*1</f>
        <v>83</v>
      </c>
      <c r="B84" s="28" t="s">
        <v>145</v>
      </c>
      <c r="C84" s="23" t="s">
        <v>168</v>
      </c>
      <c r="D84" s="73"/>
      <c r="E84" s="35"/>
      <c r="F84" s="36">
        <v>2</v>
      </c>
      <c r="G84" s="50">
        <v>0.78</v>
      </c>
      <c r="H84" s="32" t="s">
        <v>83</v>
      </c>
      <c r="I84" s="38" t="str">
        <f t="shared" si="3"/>
        <v>Pass</v>
      </c>
      <c r="J84" s="39" t="s">
        <v>14</v>
      </c>
      <c r="K84" s="40" t="s">
        <v>22</v>
      </c>
      <c r="L84" s="41"/>
      <c r="M84" s="41"/>
      <c r="N84" s="46" t="s">
        <v>163</v>
      </c>
      <c r="O84" s="74"/>
    </row>
    <row r="85" spans="1:15" s="23" customFormat="1" ht="26.25">
      <c r="A85" s="32">
        <f>SUBTOTAL(103,$B$2:B85)*1</f>
        <v>84</v>
      </c>
      <c r="B85" s="28" t="s">
        <v>145</v>
      </c>
      <c r="C85" s="23" t="s">
        <v>169</v>
      </c>
      <c r="D85" s="73"/>
      <c r="E85" s="35"/>
      <c r="F85" s="36">
        <v>0.4</v>
      </c>
      <c r="G85" s="50">
        <v>0.15</v>
      </c>
      <c r="H85" s="32" t="s">
        <v>83</v>
      </c>
      <c r="I85" s="38" t="str">
        <f t="shared" si="3"/>
        <v>Pass</v>
      </c>
      <c r="J85" s="39" t="s">
        <v>14</v>
      </c>
      <c r="K85" s="40" t="s">
        <v>22</v>
      </c>
      <c r="L85" s="41"/>
      <c r="M85" s="41"/>
      <c r="N85" s="46" t="s">
        <v>163</v>
      </c>
      <c r="O85" s="74"/>
    </row>
    <row r="86" spans="1:15" s="23" customFormat="1" ht="26.25">
      <c r="A86" s="32">
        <f>SUBTOTAL(103,$B$2:B86)*1</f>
        <v>85</v>
      </c>
      <c r="B86" s="28" t="s">
        <v>145</v>
      </c>
      <c r="C86" s="23" t="s">
        <v>170</v>
      </c>
      <c r="D86" s="73"/>
      <c r="E86" s="35"/>
      <c r="F86" s="36">
        <v>0.4</v>
      </c>
      <c r="G86" s="50">
        <v>0.16</v>
      </c>
      <c r="H86" s="32" t="s">
        <v>83</v>
      </c>
      <c r="I86" s="38" t="str">
        <f t="shared" si="3"/>
        <v>Pass</v>
      </c>
      <c r="J86" s="39" t="s">
        <v>14</v>
      </c>
      <c r="K86" s="40" t="s">
        <v>22</v>
      </c>
      <c r="L86" s="41"/>
      <c r="M86" s="41"/>
      <c r="N86" s="46" t="s">
        <v>163</v>
      </c>
      <c r="O86" s="74"/>
    </row>
    <row r="87" spans="1:15" s="23" customFormat="1" ht="26.25">
      <c r="A87" s="32">
        <f>SUBTOTAL(103,$B$2:B87)*1</f>
        <v>86</v>
      </c>
      <c r="B87" s="28" t="s">
        <v>145</v>
      </c>
      <c r="C87" s="23" t="s">
        <v>171</v>
      </c>
      <c r="D87" s="73"/>
      <c r="E87" s="35"/>
      <c r="F87" s="36">
        <v>4</v>
      </c>
      <c r="G87" s="50">
        <v>1.43</v>
      </c>
      <c r="H87" s="32" t="s">
        <v>83</v>
      </c>
      <c r="I87" s="38" t="str">
        <f t="shared" si="3"/>
        <v>Pass</v>
      </c>
      <c r="J87" s="39" t="s">
        <v>14</v>
      </c>
      <c r="K87" s="40" t="s">
        <v>22</v>
      </c>
      <c r="L87" s="41"/>
      <c r="M87" s="41"/>
      <c r="N87" s="46" t="s">
        <v>163</v>
      </c>
      <c r="O87" s="74"/>
    </row>
    <row r="88" spans="1:15" s="23" customFormat="1" ht="26.25">
      <c r="A88" s="32">
        <f>SUBTOTAL(103,$B$2:B88)*1</f>
        <v>87</v>
      </c>
      <c r="B88" s="28" t="s">
        <v>145</v>
      </c>
      <c r="C88" s="23" t="s">
        <v>172</v>
      </c>
      <c r="D88" s="73"/>
      <c r="E88" s="35"/>
      <c r="F88" s="36">
        <v>4</v>
      </c>
      <c r="G88" s="50">
        <v>0.98</v>
      </c>
      <c r="H88" s="32" t="s">
        <v>83</v>
      </c>
      <c r="I88" s="38" t="str">
        <f t="shared" si="3"/>
        <v>Pass</v>
      </c>
      <c r="J88" s="39" t="s">
        <v>14</v>
      </c>
      <c r="K88" s="40" t="s">
        <v>22</v>
      </c>
      <c r="L88" s="41"/>
      <c r="M88" s="41"/>
      <c r="N88" s="46" t="s">
        <v>163</v>
      </c>
      <c r="O88" s="74"/>
    </row>
    <row r="89" spans="1:15" s="23" customFormat="1" ht="26.25">
      <c r="A89" s="32">
        <f>SUBTOTAL(103,$B$2:B89)*1</f>
        <v>88</v>
      </c>
      <c r="B89" s="28" t="s">
        <v>145</v>
      </c>
      <c r="C89" s="23" t="s">
        <v>173</v>
      </c>
      <c r="D89" s="73"/>
      <c r="E89" s="35"/>
      <c r="F89" s="36">
        <v>0.8</v>
      </c>
      <c r="G89" s="50">
        <v>0.28999999999999998</v>
      </c>
      <c r="H89" s="32" t="s">
        <v>83</v>
      </c>
      <c r="I89" s="38" t="str">
        <f t="shared" si="3"/>
        <v>Pass</v>
      </c>
      <c r="J89" s="39" t="s">
        <v>14</v>
      </c>
      <c r="K89" s="40" t="s">
        <v>22</v>
      </c>
      <c r="L89" s="41"/>
      <c r="M89" s="41"/>
      <c r="N89" s="46" t="s">
        <v>163</v>
      </c>
      <c r="O89" s="74"/>
    </row>
    <row r="90" spans="1:15" s="23" customFormat="1" ht="26.25">
      <c r="A90" s="32">
        <f>SUBTOTAL(103,$B$2:B90)*1</f>
        <v>89</v>
      </c>
      <c r="B90" s="28" t="s">
        <v>145</v>
      </c>
      <c r="C90" s="23" t="s">
        <v>174</v>
      </c>
      <c r="D90" s="73"/>
      <c r="E90" s="35"/>
      <c r="F90" s="36">
        <v>0.8</v>
      </c>
      <c r="G90" s="50">
        <v>0.21</v>
      </c>
      <c r="H90" s="32" t="s">
        <v>83</v>
      </c>
      <c r="I90" s="38" t="str">
        <f t="shared" si="3"/>
        <v>Pass</v>
      </c>
      <c r="J90" s="39" t="s">
        <v>14</v>
      </c>
      <c r="K90" s="40" t="s">
        <v>22</v>
      </c>
      <c r="L90" s="41"/>
      <c r="M90" s="41"/>
      <c r="N90" s="46" t="s">
        <v>163</v>
      </c>
      <c r="O90" s="74"/>
    </row>
    <row r="91" spans="1:15" s="23" customFormat="1" ht="26.25">
      <c r="A91" s="32">
        <f>SUBTOTAL(103,$B$2:B91)*1</f>
        <v>90</v>
      </c>
      <c r="B91" s="28" t="s">
        <v>145</v>
      </c>
      <c r="C91" s="23" t="s">
        <v>175</v>
      </c>
      <c r="D91" s="73"/>
      <c r="E91" s="35"/>
      <c r="F91" s="36">
        <v>6</v>
      </c>
      <c r="G91" s="50">
        <v>2.5499999999999998</v>
      </c>
      <c r="H91" s="32" t="s">
        <v>83</v>
      </c>
      <c r="I91" s="38" t="str">
        <f t="shared" si="3"/>
        <v>Pass</v>
      </c>
      <c r="J91" s="39" t="s">
        <v>14</v>
      </c>
      <c r="K91" s="40" t="s">
        <v>22</v>
      </c>
      <c r="L91" s="41"/>
      <c r="M91" s="41"/>
      <c r="N91" s="46" t="s">
        <v>163</v>
      </c>
      <c r="O91" s="74"/>
    </row>
    <row r="92" spans="1:15" s="23" customFormat="1" ht="26.25">
      <c r="A92" s="32">
        <f>SUBTOTAL(103,$B$2:B92)*1</f>
        <v>91</v>
      </c>
      <c r="B92" s="28" t="s">
        <v>145</v>
      </c>
      <c r="C92" s="23" t="s">
        <v>176</v>
      </c>
      <c r="D92" s="73"/>
      <c r="E92" s="35"/>
      <c r="F92" s="36">
        <v>6</v>
      </c>
      <c r="G92" s="50">
        <v>1.98</v>
      </c>
      <c r="H92" s="32" t="s">
        <v>83</v>
      </c>
      <c r="I92" s="38" t="str">
        <f t="shared" si="3"/>
        <v>Pass</v>
      </c>
      <c r="J92" s="39" t="s">
        <v>14</v>
      </c>
      <c r="K92" s="40" t="s">
        <v>22</v>
      </c>
      <c r="L92" s="41"/>
      <c r="M92" s="41"/>
      <c r="N92" s="46" t="s">
        <v>163</v>
      </c>
      <c r="O92" s="74"/>
    </row>
    <row r="93" spans="1:15" s="23" customFormat="1" ht="26.25">
      <c r="A93" s="32">
        <f>SUBTOTAL(103,$B$2:B93)*1</f>
        <v>92</v>
      </c>
      <c r="B93" s="28" t="s">
        <v>145</v>
      </c>
      <c r="C93" s="23" t="s">
        <v>177</v>
      </c>
      <c r="D93" s="73"/>
      <c r="E93" s="35"/>
      <c r="F93" s="36">
        <v>1.2</v>
      </c>
      <c r="G93" s="50">
        <v>0.48</v>
      </c>
      <c r="H93" s="32" t="s">
        <v>83</v>
      </c>
      <c r="I93" s="38" t="str">
        <f t="shared" si="3"/>
        <v>Pass</v>
      </c>
      <c r="J93" s="39" t="s">
        <v>14</v>
      </c>
      <c r="K93" s="40" t="s">
        <v>22</v>
      </c>
      <c r="L93" s="41"/>
      <c r="M93" s="41"/>
      <c r="N93" s="46" t="s">
        <v>163</v>
      </c>
      <c r="O93" s="74"/>
    </row>
    <row r="94" spans="1:15" s="23" customFormat="1" ht="26.25">
      <c r="A94" s="32">
        <f>SUBTOTAL(103,$B$2:B94)*1</f>
        <v>93</v>
      </c>
      <c r="B94" s="28" t="s">
        <v>145</v>
      </c>
      <c r="C94" s="23" t="s">
        <v>178</v>
      </c>
      <c r="D94" s="73"/>
      <c r="E94" s="35"/>
      <c r="F94" s="36">
        <v>1.2</v>
      </c>
      <c r="G94" s="50">
        <v>0.37</v>
      </c>
      <c r="H94" s="32" t="s">
        <v>83</v>
      </c>
      <c r="I94" s="38" t="str">
        <f t="shared" si="3"/>
        <v>Pass</v>
      </c>
      <c r="J94" s="39" t="s">
        <v>14</v>
      </c>
      <c r="K94" s="40" t="s">
        <v>22</v>
      </c>
      <c r="L94" s="41"/>
      <c r="M94" s="41"/>
      <c r="N94" s="46" t="s">
        <v>163</v>
      </c>
      <c r="O94" s="74"/>
    </row>
    <row r="95" spans="1:15" s="23" customFormat="1" ht="26.25">
      <c r="A95" s="32">
        <f>SUBTOTAL(103,$B$2:B95)*1</f>
        <v>94</v>
      </c>
      <c r="B95" s="23" t="s">
        <v>179</v>
      </c>
      <c r="C95" s="23" t="s">
        <v>180</v>
      </c>
      <c r="D95" s="32"/>
      <c r="E95" s="35"/>
      <c r="F95" s="32">
        <v>20</v>
      </c>
      <c r="G95" s="45">
        <v>9.8000000000000007</v>
      </c>
      <c r="H95" s="32" t="s">
        <v>18</v>
      </c>
      <c r="I95" s="38" t="str">
        <f t="shared" si="3"/>
        <v>Pass</v>
      </c>
      <c r="J95" s="39" t="s">
        <v>14</v>
      </c>
      <c r="K95" s="40" t="s">
        <v>22</v>
      </c>
      <c r="L95" s="41"/>
      <c r="M95" s="41"/>
      <c r="N95" s="46" t="s">
        <v>181</v>
      </c>
      <c r="O95" s="58" t="s">
        <v>54</v>
      </c>
    </row>
    <row r="96" spans="1:15" s="23" customFormat="1" ht="26.25">
      <c r="A96" s="32">
        <f>SUBTOTAL(103,$B$2:B96)*1</f>
        <v>95</v>
      </c>
      <c r="B96" s="23" t="s">
        <v>182</v>
      </c>
      <c r="C96" s="61" t="s">
        <v>183</v>
      </c>
      <c r="D96" s="32">
        <v>-0.25</v>
      </c>
      <c r="E96" s="35"/>
      <c r="F96" s="32">
        <v>0.25</v>
      </c>
      <c r="G96" s="48">
        <v>7.0000000000000007E-2</v>
      </c>
      <c r="H96" s="32" t="s">
        <v>60</v>
      </c>
      <c r="I96" s="38" t="str">
        <f>IF(G96="","",IF(AND(G96&gt;=D96,G96&lt;=F96),"Pass","Fail"))</f>
        <v>Pass</v>
      </c>
      <c r="J96" s="39" t="s">
        <v>14</v>
      </c>
      <c r="K96" s="40"/>
      <c r="L96" s="41"/>
      <c r="M96" s="41"/>
      <c r="N96" s="53"/>
      <c r="O96" s="43" t="s">
        <v>54</v>
      </c>
    </row>
    <row r="97" spans="1:15" s="23" customFormat="1" ht="26.25">
      <c r="A97" s="32">
        <f>SUBTOTAL(103,$B$2:B97)*1</f>
        <v>96</v>
      </c>
      <c r="B97" s="23" t="s">
        <v>182</v>
      </c>
      <c r="C97" s="61" t="s">
        <v>184</v>
      </c>
      <c r="D97" s="32">
        <v>-1</v>
      </c>
      <c r="E97" s="35"/>
      <c r="F97" s="75">
        <v>1</v>
      </c>
      <c r="G97" s="45">
        <v>0.5</v>
      </c>
      <c r="H97" s="32" t="s">
        <v>60</v>
      </c>
      <c r="I97" s="38" t="str">
        <f>IF(G97="","",IF(AND(G97&gt;=D97,G97&lt;=F97),"Pass","Fail"))</f>
        <v>Pass</v>
      </c>
      <c r="J97" s="39" t="s">
        <v>14</v>
      </c>
      <c r="K97" s="40"/>
      <c r="L97" s="41"/>
      <c r="M97" s="41"/>
      <c r="N97" s="53"/>
      <c r="O97" s="43" t="s">
        <v>54</v>
      </c>
    </row>
    <row r="98" spans="1:15" ht="26.25">
      <c r="A98" s="32">
        <f>SUBTOTAL(103,$B$2:B98)*1</f>
        <v>97</v>
      </c>
      <c r="B98" s="23" t="s">
        <v>185</v>
      </c>
      <c r="C98" s="51" t="s">
        <v>186</v>
      </c>
      <c r="D98" s="32"/>
      <c r="E98" s="35" t="s">
        <v>100</v>
      </c>
      <c r="F98" s="32"/>
      <c r="G98" s="37" t="s">
        <v>100</v>
      </c>
      <c r="H98" s="32" t="s">
        <v>16</v>
      </c>
      <c r="I98" s="38" t="s">
        <v>19</v>
      </c>
      <c r="J98" s="39" t="s">
        <v>14</v>
      </c>
      <c r="K98" s="40"/>
      <c r="L98" s="52"/>
      <c r="M98" s="52"/>
      <c r="N98" s="76" t="s">
        <v>187</v>
      </c>
      <c r="O98" s="43"/>
    </row>
    <row r="99" spans="1:15" s="23" customFormat="1" ht="26.25">
      <c r="A99" s="32">
        <f>SUBTOTAL(103,$B$2:B99)*1</f>
        <v>98</v>
      </c>
      <c r="B99" s="28" t="s">
        <v>185</v>
      </c>
      <c r="C99" s="51" t="s">
        <v>188</v>
      </c>
      <c r="D99" s="32"/>
      <c r="E99" s="35" t="s">
        <v>48</v>
      </c>
      <c r="F99" s="32"/>
      <c r="G99" s="37" t="s">
        <v>48</v>
      </c>
      <c r="H99" s="32" t="s">
        <v>16</v>
      </c>
      <c r="I99" s="38" t="s">
        <v>19</v>
      </c>
      <c r="J99" s="39" t="s">
        <v>14</v>
      </c>
      <c r="K99" s="40"/>
      <c r="L99" s="52"/>
      <c r="M99" s="52"/>
      <c r="N99" s="46" t="s">
        <v>187</v>
      </c>
      <c r="O99" s="43"/>
    </row>
    <row r="100" spans="1:15" s="23" customFormat="1" ht="26.25">
      <c r="A100" s="32">
        <f>SUBTOTAL(103,$B$2:B100)*1</f>
        <v>99</v>
      </c>
      <c r="B100" s="28" t="s">
        <v>185</v>
      </c>
      <c r="C100" s="23" t="s">
        <v>189</v>
      </c>
      <c r="D100" s="32"/>
      <c r="E100" s="35"/>
      <c r="F100" s="32">
        <v>100</v>
      </c>
      <c r="G100" s="37">
        <v>20.5</v>
      </c>
      <c r="H100" s="32" t="s">
        <v>83</v>
      </c>
      <c r="I100" s="77" t="s">
        <v>19</v>
      </c>
      <c r="J100" s="39" t="s">
        <v>14</v>
      </c>
      <c r="K100" s="40" t="s">
        <v>22</v>
      </c>
      <c r="L100" s="41"/>
      <c r="M100" s="41"/>
      <c r="N100" s="46" t="s">
        <v>190</v>
      </c>
      <c r="O100" s="43"/>
    </row>
    <row r="101" spans="1:15" s="23" customFormat="1" ht="26.25">
      <c r="A101" s="32">
        <f>SUBTOTAL(103,$B$2:B101)*1</f>
        <v>100</v>
      </c>
      <c r="B101" s="28" t="s">
        <v>185</v>
      </c>
      <c r="C101" s="23" t="s">
        <v>191</v>
      </c>
      <c r="D101" s="32"/>
      <c r="F101" s="32">
        <v>100</v>
      </c>
      <c r="G101" s="37">
        <v>31.1</v>
      </c>
      <c r="H101" s="32" t="s">
        <v>83</v>
      </c>
      <c r="I101" s="77" t="s">
        <v>19</v>
      </c>
      <c r="J101" s="39" t="s">
        <v>14</v>
      </c>
      <c r="K101" s="40" t="s">
        <v>22</v>
      </c>
      <c r="L101" s="41"/>
      <c r="M101" s="41"/>
      <c r="N101" s="46" t="s">
        <v>190</v>
      </c>
      <c r="O101" s="43"/>
    </row>
    <row r="102" spans="1:15" s="23" customFormat="1" ht="26.25">
      <c r="A102" s="32">
        <f>SUBTOTAL(103,$B$2:B102)*1</f>
        <v>101</v>
      </c>
      <c r="B102" s="28" t="s">
        <v>192</v>
      </c>
      <c r="C102" s="23" t="s">
        <v>193</v>
      </c>
      <c r="D102" s="32"/>
      <c r="E102" s="35"/>
      <c r="F102" s="32">
        <v>100</v>
      </c>
      <c r="G102" s="37">
        <v>33.9</v>
      </c>
      <c r="H102" s="32" t="s">
        <v>83</v>
      </c>
      <c r="I102" s="77" t="str">
        <f>IF(G102="","",IF(AND(G102&gt;=D102,G102&lt;=F102),"Pass","Fail"))</f>
        <v>Pass</v>
      </c>
      <c r="J102" s="39" t="s">
        <v>14</v>
      </c>
      <c r="K102" s="40" t="s">
        <v>22</v>
      </c>
      <c r="L102" s="41"/>
      <c r="M102" s="41"/>
      <c r="N102" s="46" t="s">
        <v>194</v>
      </c>
      <c r="O102" s="43"/>
    </row>
    <row r="103" spans="1:15" s="23" customFormat="1" ht="26.25">
      <c r="A103" s="32">
        <f>SUBTOTAL(103,$B$2:B103)*1</f>
        <v>102</v>
      </c>
      <c r="B103" s="28" t="s">
        <v>192</v>
      </c>
      <c r="C103" s="23" t="s">
        <v>195</v>
      </c>
      <c r="D103" s="32"/>
      <c r="E103" s="35"/>
      <c r="F103" s="32">
        <v>100</v>
      </c>
      <c r="G103" s="45">
        <v>15</v>
      </c>
      <c r="H103" s="32" t="s">
        <v>83</v>
      </c>
      <c r="I103" s="77" t="str">
        <f>IF(G103="","",IF(AND(G103&gt;=D103,G103&lt;=F103),"Pass","Fail"))</f>
        <v>Pass</v>
      </c>
      <c r="J103" s="39" t="s">
        <v>14</v>
      </c>
      <c r="K103" s="40" t="s">
        <v>22</v>
      </c>
      <c r="L103" s="41"/>
      <c r="M103" s="41"/>
      <c r="N103" s="46" t="s">
        <v>194</v>
      </c>
      <c r="O103" s="43"/>
    </row>
    <row r="104" spans="1:15" s="23" customFormat="1" ht="23.25">
      <c r="A104" s="32">
        <f>SUBTOTAL(103,$B$2:B104)*1</f>
        <v>103</v>
      </c>
      <c r="B104" s="23" t="s">
        <v>185</v>
      </c>
      <c r="C104" s="51" t="s">
        <v>196</v>
      </c>
      <c r="D104" s="32"/>
      <c r="E104" s="35" t="s">
        <v>197</v>
      </c>
      <c r="F104" s="34"/>
      <c r="G104" s="37" t="s">
        <v>197</v>
      </c>
      <c r="H104" s="32" t="s">
        <v>16</v>
      </c>
      <c r="I104" s="38" t="s">
        <v>19</v>
      </c>
      <c r="J104" s="39" t="s">
        <v>14</v>
      </c>
      <c r="K104" s="40"/>
      <c r="L104" s="52"/>
      <c r="M104" s="52"/>
      <c r="N104" s="46" t="s">
        <v>198</v>
      </c>
      <c r="O104" s="43"/>
    </row>
    <row r="105" spans="1:15" s="23" customFormat="1" ht="26.25">
      <c r="A105" s="32">
        <f>SUBTOTAL(103,$B$2:B105)*1</f>
        <v>104</v>
      </c>
      <c r="B105" s="28" t="s">
        <v>185</v>
      </c>
      <c r="C105" s="51" t="s">
        <v>199</v>
      </c>
      <c r="D105" s="34"/>
      <c r="E105" s="35"/>
      <c r="G105" s="37">
        <v>359.9</v>
      </c>
      <c r="H105" s="32" t="s">
        <v>118</v>
      </c>
      <c r="I105" s="38" t="s">
        <v>19</v>
      </c>
      <c r="J105" s="39" t="s">
        <v>14</v>
      </c>
      <c r="K105" s="40"/>
      <c r="L105" s="52"/>
      <c r="M105" s="52"/>
      <c r="N105" s="46" t="s">
        <v>200</v>
      </c>
      <c r="O105" s="43"/>
    </row>
    <row r="106" spans="1:15" s="23" customFormat="1" ht="26.25">
      <c r="A106" s="32">
        <f>SUBTOTAL(103,$B$2:B106)*1</f>
        <v>105</v>
      </c>
      <c r="B106" s="61" t="s">
        <v>201</v>
      </c>
      <c r="C106" s="33" t="s">
        <v>202</v>
      </c>
      <c r="D106" s="34"/>
      <c r="E106" s="34"/>
      <c r="F106" s="75">
        <v>0.05</v>
      </c>
      <c r="G106" s="48">
        <v>0.05</v>
      </c>
      <c r="H106" s="75" t="s">
        <v>118</v>
      </c>
      <c r="I106" s="77" t="str">
        <f>IF(G106="","",IF(AND(G106&gt;=D106,G106&lt;=F106),"Pass","Fail"))</f>
        <v>Pass</v>
      </c>
      <c r="J106" s="78" t="s">
        <v>14</v>
      </c>
      <c r="K106" s="40"/>
      <c r="L106" s="79"/>
      <c r="M106" s="79"/>
      <c r="N106" s="53"/>
      <c r="O106" s="43"/>
    </row>
    <row r="107" spans="1:15" s="23" customFormat="1" ht="26.25">
      <c r="A107" s="32">
        <f>SUBTOTAL(103,$B$2:B107)*1</f>
        <v>106</v>
      </c>
      <c r="B107" s="28" t="s">
        <v>185</v>
      </c>
      <c r="C107" s="51" t="s">
        <v>203</v>
      </c>
      <c r="D107" s="32">
        <v>1.25</v>
      </c>
      <c r="E107" s="35"/>
      <c r="F107" s="32">
        <v>5</v>
      </c>
      <c r="G107" s="80">
        <v>3.42</v>
      </c>
      <c r="H107" s="32" t="s">
        <v>204</v>
      </c>
      <c r="I107" s="77" t="s">
        <v>19</v>
      </c>
      <c r="J107" s="39" t="s">
        <v>14</v>
      </c>
      <c r="K107" s="40"/>
      <c r="L107" s="52"/>
      <c r="M107" s="52"/>
      <c r="N107" s="53" t="s">
        <v>205</v>
      </c>
      <c r="O107" s="43"/>
    </row>
    <row r="108" spans="1:15" s="23" customFormat="1" ht="26.25">
      <c r="A108" s="32">
        <f>SUBTOTAL(103,$B$2:B108)*1</f>
        <v>107</v>
      </c>
      <c r="B108" s="28" t="s">
        <v>185</v>
      </c>
      <c r="C108" s="51" t="s">
        <v>206</v>
      </c>
      <c r="D108" s="32">
        <v>1.25</v>
      </c>
      <c r="E108" s="35"/>
      <c r="F108" s="32">
        <v>5</v>
      </c>
      <c r="G108" s="80">
        <v>2.92</v>
      </c>
      <c r="H108" s="32" t="s">
        <v>204</v>
      </c>
      <c r="I108" s="77" t="s">
        <v>19</v>
      </c>
      <c r="J108" s="39" t="s">
        <v>14</v>
      </c>
      <c r="K108" s="40"/>
      <c r="L108" s="52"/>
      <c r="M108" s="52"/>
      <c r="N108" s="46" t="s">
        <v>207</v>
      </c>
      <c r="O108" s="43"/>
    </row>
    <row r="109" spans="1:15" s="23" customFormat="1" ht="26.25">
      <c r="A109" s="32">
        <f>SUBTOTAL(103,$B$2:B109)*1</f>
        <v>108</v>
      </c>
      <c r="B109" s="28" t="s">
        <v>185</v>
      </c>
      <c r="C109" s="51" t="s">
        <v>208</v>
      </c>
      <c r="D109" s="55">
        <v>0.4</v>
      </c>
      <c r="E109" s="35"/>
      <c r="F109" s="32">
        <v>0.45</v>
      </c>
      <c r="G109" s="81">
        <v>0.43099999999999999</v>
      </c>
      <c r="H109" s="32" t="s">
        <v>209</v>
      </c>
      <c r="I109" s="77" t="s">
        <v>19</v>
      </c>
      <c r="J109" s="39" t="s">
        <v>14</v>
      </c>
      <c r="K109" s="40"/>
      <c r="L109" s="52"/>
      <c r="M109" s="52"/>
      <c r="N109" s="53" t="s">
        <v>210</v>
      </c>
      <c r="O109" s="43"/>
    </row>
    <row r="110" spans="1:15" s="23" customFormat="1" ht="26.25">
      <c r="A110" s="22">
        <v>346</v>
      </c>
      <c r="B110" s="28" t="s">
        <v>185</v>
      </c>
      <c r="C110" s="51" t="s">
        <v>211</v>
      </c>
      <c r="D110" s="32"/>
      <c r="E110" s="35" t="s">
        <v>212</v>
      </c>
      <c r="F110" s="32"/>
      <c r="G110" s="81" t="s">
        <v>19</v>
      </c>
      <c r="H110" s="32"/>
      <c r="I110" s="77" t="s">
        <v>19</v>
      </c>
      <c r="J110" s="39" t="s">
        <v>14</v>
      </c>
      <c r="K110" s="40"/>
      <c r="L110" s="52"/>
      <c r="M110" s="52"/>
      <c r="N110" s="53" t="s">
        <v>213</v>
      </c>
      <c r="O110" s="43"/>
    </row>
    <row r="111" spans="1:15" s="23" customFormat="1" ht="26.25">
      <c r="A111" s="32">
        <f>SUBTOTAL(103,$B$2:B111)*1</f>
        <v>110</v>
      </c>
      <c r="B111" s="28" t="s">
        <v>192</v>
      </c>
      <c r="C111" s="23" t="s">
        <v>214</v>
      </c>
      <c r="D111" s="32"/>
      <c r="E111" s="35" t="s">
        <v>48</v>
      </c>
      <c r="F111" s="32"/>
      <c r="G111" s="37" t="s">
        <v>48</v>
      </c>
      <c r="H111" s="32" t="s">
        <v>16</v>
      </c>
      <c r="I111" s="38" t="str">
        <f>IF(G111="","",IF(G111=E111,"Pass","Fail"))</f>
        <v>Pass</v>
      </c>
      <c r="J111" s="39" t="s">
        <v>14</v>
      </c>
      <c r="K111" s="40"/>
      <c r="L111" s="52"/>
      <c r="M111" s="52"/>
      <c r="N111" s="46" t="s">
        <v>215</v>
      </c>
      <c r="O111" s="43"/>
    </row>
    <row r="112" spans="1:15" s="23" customFormat="1" ht="26.25">
      <c r="A112" s="32">
        <f>SUBTOTAL(103,$B$2:B112)*1</f>
        <v>111</v>
      </c>
      <c r="B112" s="23" t="s">
        <v>216</v>
      </c>
      <c r="C112" s="51" t="s">
        <v>217</v>
      </c>
      <c r="D112" s="32"/>
      <c r="E112" s="35" t="s">
        <v>48</v>
      </c>
      <c r="F112" s="32"/>
      <c r="G112" s="37" t="s">
        <v>48</v>
      </c>
      <c r="H112" s="32" t="s">
        <v>16</v>
      </c>
      <c r="I112" s="38" t="str">
        <f>IF(G112="","",IF(G112=E112,"Pass","Fail"))</f>
        <v>Pass</v>
      </c>
      <c r="J112" s="39" t="s">
        <v>14</v>
      </c>
      <c r="K112" s="40"/>
      <c r="L112" s="52"/>
      <c r="M112" s="52"/>
      <c r="N112" s="53"/>
      <c r="O112" s="43"/>
    </row>
    <row r="113" spans="1:15" s="23" customFormat="1" ht="26.25">
      <c r="A113" s="32">
        <f>SUBTOTAL(103,$B$2:B113)*1</f>
        <v>112</v>
      </c>
      <c r="B113" s="23" t="s">
        <v>49</v>
      </c>
      <c r="C113" s="54" t="s">
        <v>218</v>
      </c>
      <c r="D113" s="34"/>
      <c r="E113" s="35">
        <v>0.2</v>
      </c>
      <c r="F113" s="57"/>
      <c r="G113" s="45">
        <v>0.2</v>
      </c>
      <c r="H113" s="32" t="s">
        <v>16</v>
      </c>
      <c r="I113" s="38" t="str">
        <f>IF(G113="","",IF(G113=E113,"Pass","Fail"))</f>
        <v>Pass</v>
      </c>
      <c r="J113" s="39" t="s">
        <v>219</v>
      </c>
      <c r="K113" s="40"/>
      <c r="L113" s="41"/>
      <c r="M113" s="41"/>
      <c r="N113" s="46"/>
      <c r="O113" s="58" t="s">
        <v>54</v>
      </c>
    </row>
    <row r="114" spans="1:15" s="23" customFormat="1" ht="26.25">
      <c r="A114" s="32">
        <f>SUBTOTAL(103,$B$2:B114)*1</f>
        <v>113</v>
      </c>
      <c r="B114" s="23" t="s">
        <v>58</v>
      </c>
      <c r="C114" s="23" t="s">
        <v>220</v>
      </c>
      <c r="D114" s="32">
        <v>458.4</v>
      </c>
      <c r="E114" s="60">
        <v>461.2</v>
      </c>
      <c r="F114" s="32">
        <v>464</v>
      </c>
      <c r="G114" s="50" t="s">
        <v>71</v>
      </c>
      <c r="H114" s="32" t="s">
        <v>18</v>
      </c>
      <c r="I114" s="38" t="s">
        <v>19</v>
      </c>
      <c r="J114" s="39" t="s">
        <v>219</v>
      </c>
      <c r="K114" s="40"/>
      <c r="L114" s="41"/>
      <c r="M114" s="41"/>
      <c r="N114" s="42" t="s">
        <v>221</v>
      </c>
      <c r="O114" s="58" t="s">
        <v>54</v>
      </c>
    </row>
    <row r="115" spans="1:15" s="23" customFormat="1" ht="26.25">
      <c r="A115" s="32">
        <f>SUBTOTAL(103,$B$2:B115)*1</f>
        <v>114</v>
      </c>
      <c r="B115" s="23" t="s">
        <v>58</v>
      </c>
      <c r="C115" s="23" t="s">
        <v>222</v>
      </c>
      <c r="D115" s="32"/>
      <c r="E115" s="35"/>
      <c r="F115" s="55">
        <v>0.5</v>
      </c>
      <c r="G115" s="48">
        <f>ABS(($E$114-G116)/$E$114*100)</f>
        <v>0.12575888985255509</v>
      </c>
      <c r="H115" s="32" t="s">
        <v>25</v>
      </c>
      <c r="I115" s="38" t="str">
        <f>IF(G115="","",IF(G115&lt;=F115,"Pass","Fail"))</f>
        <v>Pass</v>
      </c>
      <c r="J115" s="39" t="s">
        <v>219</v>
      </c>
      <c r="K115" s="40" t="s">
        <v>22</v>
      </c>
      <c r="L115" s="41"/>
      <c r="M115" s="41"/>
      <c r="N115" s="53"/>
      <c r="O115" s="58" t="s">
        <v>54</v>
      </c>
    </row>
    <row r="116" spans="1:15" s="23" customFormat="1" ht="26.25">
      <c r="A116" s="32">
        <f>SUBTOTAL(103,$B$2:B116)*1</f>
        <v>115</v>
      </c>
      <c r="B116" s="23" t="s">
        <v>58</v>
      </c>
      <c r="C116" s="23" t="s">
        <v>223</v>
      </c>
      <c r="D116" s="32"/>
      <c r="E116" s="35" t="s">
        <v>16</v>
      </c>
      <c r="F116" s="32"/>
      <c r="G116" s="50">
        <v>461.78</v>
      </c>
      <c r="H116" s="32" t="s">
        <v>18</v>
      </c>
      <c r="I116" s="38" t="s">
        <v>19</v>
      </c>
      <c r="J116" s="39" t="s">
        <v>219</v>
      </c>
      <c r="K116" s="40"/>
      <c r="L116" s="41"/>
      <c r="M116" s="41"/>
      <c r="N116" s="53"/>
      <c r="O116" s="58" t="s">
        <v>54</v>
      </c>
    </row>
    <row r="117" spans="1:15" s="23" customFormat="1" ht="26.25">
      <c r="A117" s="32">
        <f>SUBTOTAL(103,$B$2:B117)*1</f>
        <v>116</v>
      </c>
      <c r="B117" s="23" t="s">
        <v>58</v>
      </c>
      <c r="C117" s="23" t="s">
        <v>224</v>
      </c>
      <c r="D117" s="32"/>
      <c r="E117" s="35"/>
      <c r="F117" s="55">
        <v>0.5</v>
      </c>
      <c r="G117" s="48">
        <f>ABS(($E$114-G118)/$E$114*100)</f>
        <v>0.19731136166522661</v>
      </c>
      <c r="H117" s="32" t="s">
        <v>25</v>
      </c>
      <c r="I117" s="38" t="str">
        <f>IF(G117="","",IF(G117&lt;=F117,"Pass","Fail"))</f>
        <v>Pass</v>
      </c>
      <c r="J117" s="39" t="s">
        <v>219</v>
      </c>
      <c r="K117" s="40" t="s">
        <v>22</v>
      </c>
      <c r="L117" s="41"/>
      <c r="M117" s="41"/>
      <c r="N117" s="53"/>
      <c r="O117" s="58" t="s">
        <v>54</v>
      </c>
    </row>
    <row r="118" spans="1:15" s="23" customFormat="1" ht="26.25">
      <c r="A118" s="32">
        <f>SUBTOTAL(103,$B$2:B118)*1</f>
        <v>117</v>
      </c>
      <c r="B118" s="23" t="s">
        <v>58</v>
      </c>
      <c r="C118" s="23" t="s">
        <v>225</v>
      </c>
      <c r="D118" s="32"/>
      <c r="E118" s="35" t="s">
        <v>16</v>
      </c>
      <c r="F118" s="32"/>
      <c r="G118" s="50">
        <v>462.11</v>
      </c>
      <c r="H118" s="32" t="s">
        <v>18</v>
      </c>
      <c r="I118" s="38" t="s">
        <v>19</v>
      </c>
      <c r="J118" s="39" t="s">
        <v>219</v>
      </c>
      <c r="K118" s="40"/>
      <c r="L118" s="41"/>
      <c r="M118" s="41"/>
      <c r="N118" s="53"/>
      <c r="O118" s="58" t="s">
        <v>54</v>
      </c>
    </row>
    <row r="119" spans="1:15" s="23" customFormat="1" ht="26.25">
      <c r="A119" s="32">
        <f>SUBTOTAL(103,$B$2:B119)*1</f>
        <v>118</v>
      </c>
      <c r="B119" s="23" t="s">
        <v>81</v>
      </c>
      <c r="C119" s="23" t="s">
        <v>226</v>
      </c>
      <c r="D119" s="32">
        <v>43</v>
      </c>
      <c r="E119" s="35"/>
      <c r="F119" s="32">
        <v>92</v>
      </c>
      <c r="G119" s="45">
        <v>66.510000000000005</v>
      </c>
      <c r="H119" s="32" t="s">
        <v>16</v>
      </c>
      <c r="I119" s="38" t="str">
        <f>IF(G119="","",IF(AND(G119&gt;=D119,G119&lt;=F119),"Pass","Fail"))</f>
        <v>Pass</v>
      </c>
      <c r="J119" s="39" t="s">
        <v>219</v>
      </c>
      <c r="K119" s="40" t="s">
        <v>22</v>
      </c>
      <c r="L119" s="41"/>
      <c r="M119" s="125" t="s">
        <v>747</v>
      </c>
      <c r="N119" s="53"/>
      <c r="O119" s="58" t="s">
        <v>54</v>
      </c>
    </row>
    <row r="120" spans="1:15" s="23" customFormat="1" ht="26.25">
      <c r="A120" s="32">
        <f>SUBTOTAL(103,$B$2:B120)*1</f>
        <v>119</v>
      </c>
      <c r="B120" s="23" t="s">
        <v>81</v>
      </c>
      <c r="C120" s="61" t="s">
        <v>227</v>
      </c>
      <c r="D120" s="32">
        <v>24</v>
      </c>
      <c r="E120" s="35"/>
      <c r="F120" s="32">
        <v>28</v>
      </c>
      <c r="G120" s="45">
        <v>26.71</v>
      </c>
      <c r="H120" s="32" t="s">
        <v>16</v>
      </c>
      <c r="I120" s="38" t="str">
        <f>IF(G120="","",IF(AND(G120&gt;=D120,G120&lt;=F120),"Pass","Fail"))</f>
        <v>Pass</v>
      </c>
      <c r="J120" s="39" t="s">
        <v>219</v>
      </c>
      <c r="K120" s="40" t="s">
        <v>22</v>
      </c>
      <c r="L120" s="41"/>
      <c r="M120" s="41"/>
      <c r="N120" s="53"/>
      <c r="O120" s="58" t="s">
        <v>54</v>
      </c>
    </row>
    <row r="121" spans="1:15" s="23" customFormat="1" ht="26.25">
      <c r="A121" s="32">
        <f>SUBTOTAL(103,$B$2:B121)*1</f>
        <v>120</v>
      </c>
      <c r="B121" s="23" t="s">
        <v>81</v>
      </c>
      <c r="C121" s="61" t="s">
        <v>228</v>
      </c>
      <c r="D121" s="35"/>
      <c r="E121" s="35"/>
      <c r="F121" s="35"/>
      <c r="G121" s="45">
        <v>66.39</v>
      </c>
      <c r="H121" s="32" t="s">
        <v>16</v>
      </c>
      <c r="I121" s="38" t="s">
        <v>19</v>
      </c>
      <c r="J121" s="39" t="s">
        <v>219</v>
      </c>
      <c r="K121" s="40" t="s">
        <v>22</v>
      </c>
      <c r="L121" s="41"/>
      <c r="M121" s="41"/>
      <c r="N121" s="53"/>
      <c r="O121" s="58" t="s">
        <v>54</v>
      </c>
    </row>
    <row r="122" spans="1:15" s="23" customFormat="1" ht="26.25">
      <c r="A122" s="32">
        <f>SUBTOTAL(103,$B$2:B122)*1</f>
        <v>121</v>
      </c>
      <c r="B122" s="23" t="s">
        <v>81</v>
      </c>
      <c r="C122" s="61" t="s">
        <v>229</v>
      </c>
      <c r="D122" s="35"/>
      <c r="E122" s="35"/>
      <c r="F122" s="35"/>
      <c r="G122" s="37">
        <v>26.9</v>
      </c>
      <c r="H122" s="32" t="s">
        <v>16</v>
      </c>
      <c r="I122" s="38" t="s">
        <v>19</v>
      </c>
      <c r="J122" s="39" t="s">
        <v>219</v>
      </c>
      <c r="K122" s="40" t="s">
        <v>22</v>
      </c>
      <c r="L122" s="41"/>
      <c r="M122" s="41"/>
      <c r="N122" s="53"/>
      <c r="O122" s="58" t="s">
        <v>54</v>
      </c>
    </row>
    <row r="123" spans="1:15" s="23" customFormat="1" ht="26.25">
      <c r="A123" s="32">
        <f>SUBTOTAL(103,$B$2:B123)*1</f>
        <v>122</v>
      </c>
      <c r="B123" s="23" t="s">
        <v>102</v>
      </c>
      <c r="C123" s="23" t="s">
        <v>230</v>
      </c>
      <c r="D123" s="82">
        <v>800</v>
      </c>
      <c r="E123" s="35"/>
      <c r="F123" s="36"/>
      <c r="G123" s="37">
        <v>839.6</v>
      </c>
      <c r="H123" s="32" t="s">
        <v>16</v>
      </c>
      <c r="I123" s="38" t="str">
        <f>IF(G123="","",IF(G123&gt;=D123,"Pass","Fail"))</f>
        <v>Pass</v>
      </c>
      <c r="J123" s="39" t="s">
        <v>219</v>
      </c>
      <c r="K123" s="40"/>
      <c r="L123" s="52"/>
      <c r="M123" s="52"/>
      <c r="N123" s="46" t="s">
        <v>231</v>
      </c>
      <c r="O123" s="58" t="s">
        <v>54</v>
      </c>
    </row>
    <row r="124" spans="1:15" s="23" customFormat="1" ht="26.25">
      <c r="A124" s="32">
        <f>SUBTOTAL(103,$B$2:B124)*1</f>
        <v>123</v>
      </c>
      <c r="B124" s="23" t="s">
        <v>106</v>
      </c>
      <c r="C124" s="23" t="s">
        <v>232</v>
      </c>
      <c r="D124" s="36"/>
      <c r="E124" s="70"/>
      <c r="F124" s="70">
        <v>0.5</v>
      </c>
      <c r="G124" s="50">
        <v>7.0000000000000007E-2</v>
      </c>
      <c r="H124" s="32" t="s">
        <v>25</v>
      </c>
      <c r="I124" s="38" t="str">
        <f>IF(G124="","",IF(AND(G124&lt;=F124),"Pass","Fail"))</f>
        <v>Pass</v>
      </c>
      <c r="J124" s="39" t="s">
        <v>219</v>
      </c>
      <c r="K124" s="40" t="s">
        <v>22</v>
      </c>
      <c r="L124" s="41"/>
      <c r="M124" s="41"/>
      <c r="N124" s="53" t="s">
        <v>233</v>
      </c>
      <c r="O124" s="58" t="s">
        <v>54</v>
      </c>
    </row>
    <row r="125" spans="1:15" s="23" customFormat="1" ht="26.25">
      <c r="A125" s="32">
        <f>SUBTOTAL(103,$B$2:B125)*1</f>
        <v>124</v>
      </c>
      <c r="B125" s="23" t="s">
        <v>106</v>
      </c>
      <c r="C125" s="23" t="s">
        <v>234</v>
      </c>
      <c r="D125" s="36"/>
      <c r="E125" s="70"/>
      <c r="F125" s="70">
        <v>0.5</v>
      </c>
      <c r="G125" s="37">
        <v>0.42</v>
      </c>
      <c r="H125" s="32" t="s">
        <v>25</v>
      </c>
      <c r="I125" s="38" t="str">
        <f>IF(G125="","",IF(AND(G125&lt;=F125),"Pass","Fail"))</f>
        <v>Pass</v>
      </c>
      <c r="J125" s="39" t="s">
        <v>219</v>
      </c>
      <c r="K125" s="40" t="s">
        <v>22</v>
      </c>
      <c r="L125" s="41"/>
      <c r="M125" s="41"/>
      <c r="N125" s="53" t="s">
        <v>233</v>
      </c>
      <c r="O125" s="58" t="s">
        <v>54</v>
      </c>
    </row>
    <row r="126" spans="1:15" s="23" customFormat="1" ht="26.25">
      <c r="A126" s="32">
        <f>SUBTOTAL(103,$B$2:B126)*1</f>
        <v>125</v>
      </c>
      <c r="B126" s="23" t="s">
        <v>106</v>
      </c>
      <c r="C126" s="23" t="s">
        <v>235</v>
      </c>
      <c r="D126" s="32">
        <v>200</v>
      </c>
      <c r="E126" s="35"/>
      <c r="F126" s="35">
        <v>300</v>
      </c>
      <c r="G126" s="45">
        <v>250.4</v>
      </c>
      <c r="H126" s="32" t="s">
        <v>16</v>
      </c>
      <c r="I126" s="38" t="str">
        <f t="shared" ref="I126:I131" si="4">IF(G126="","",IF(AND(G126&gt;=D126,G126&lt;=F126),"Pass","Fail"))</f>
        <v>Pass</v>
      </c>
      <c r="J126" s="39" t="s">
        <v>219</v>
      </c>
      <c r="K126" s="40" t="s">
        <v>22</v>
      </c>
      <c r="L126" s="41"/>
      <c r="M126" s="41"/>
      <c r="N126" s="53"/>
      <c r="O126" s="58" t="s">
        <v>54</v>
      </c>
    </row>
    <row r="127" spans="1:15" s="23" customFormat="1" ht="26.25">
      <c r="A127" s="32">
        <f>SUBTOTAL(103,$B$2:B127)*1</f>
        <v>126</v>
      </c>
      <c r="B127" s="23" t="s">
        <v>106</v>
      </c>
      <c r="C127" s="23" t="s">
        <v>236</v>
      </c>
      <c r="D127" s="32">
        <v>200</v>
      </c>
      <c r="E127" s="35"/>
      <c r="F127" s="35">
        <v>300</v>
      </c>
      <c r="G127" s="45">
        <v>258.8</v>
      </c>
      <c r="H127" s="32" t="s">
        <v>16</v>
      </c>
      <c r="I127" s="38" t="str">
        <f t="shared" si="4"/>
        <v>Pass</v>
      </c>
      <c r="J127" s="39" t="s">
        <v>219</v>
      </c>
      <c r="K127" s="40" t="s">
        <v>22</v>
      </c>
      <c r="L127" s="41"/>
      <c r="M127" s="41"/>
      <c r="N127" s="53"/>
      <c r="O127" s="58" t="s">
        <v>54</v>
      </c>
    </row>
    <row r="128" spans="1:15" ht="26.25">
      <c r="A128" s="32">
        <f>SUBTOTAL(103,$B$2:B128)*1</f>
        <v>127</v>
      </c>
      <c r="B128" s="23" t="s">
        <v>106</v>
      </c>
      <c r="C128" s="23" t="s">
        <v>237</v>
      </c>
      <c r="D128" s="32">
        <v>200</v>
      </c>
      <c r="E128" s="35"/>
      <c r="F128" s="35">
        <v>300</v>
      </c>
      <c r="G128" s="45">
        <v>257.8</v>
      </c>
      <c r="H128" s="32" t="s">
        <v>16</v>
      </c>
      <c r="I128" s="38" t="str">
        <f t="shared" si="4"/>
        <v>Pass</v>
      </c>
      <c r="J128" s="39" t="s">
        <v>219</v>
      </c>
      <c r="K128" s="40" t="s">
        <v>22</v>
      </c>
      <c r="L128" s="41"/>
      <c r="M128" s="41"/>
      <c r="N128" s="53"/>
      <c r="O128" s="58" t="s">
        <v>54</v>
      </c>
    </row>
    <row r="129" spans="1:15" ht="26.25">
      <c r="A129" s="32">
        <f>SUBTOTAL(103,$B$2:B129)*1</f>
        <v>128</v>
      </c>
      <c r="B129" s="23" t="s">
        <v>106</v>
      </c>
      <c r="C129" s="23" t="s">
        <v>238</v>
      </c>
      <c r="D129" s="32">
        <v>200</v>
      </c>
      <c r="E129" s="35"/>
      <c r="F129" s="32">
        <v>300</v>
      </c>
      <c r="G129" s="45">
        <v>242.2</v>
      </c>
      <c r="H129" s="32" t="s">
        <v>16</v>
      </c>
      <c r="I129" s="38" t="str">
        <f t="shared" si="4"/>
        <v>Pass</v>
      </c>
      <c r="J129" s="39" t="s">
        <v>219</v>
      </c>
      <c r="K129" s="40" t="s">
        <v>22</v>
      </c>
      <c r="L129" s="41"/>
      <c r="M129" s="41"/>
      <c r="N129" s="53"/>
      <c r="O129" s="58" t="s">
        <v>54</v>
      </c>
    </row>
    <row r="130" spans="1:15" ht="26.25">
      <c r="A130" s="32">
        <f>SUBTOTAL(103,$B$2:B130)*1</f>
        <v>129</v>
      </c>
      <c r="B130" s="23" t="s">
        <v>106</v>
      </c>
      <c r="C130" s="23" t="s">
        <v>239</v>
      </c>
      <c r="D130" s="32">
        <v>150</v>
      </c>
      <c r="E130" s="35"/>
      <c r="F130" s="32">
        <v>220</v>
      </c>
      <c r="G130" s="45">
        <v>164.6</v>
      </c>
      <c r="H130" s="32" t="s">
        <v>83</v>
      </c>
      <c r="I130" s="38" t="str">
        <f t="shared" si="4"/>
        <v>Pass</v>
      </c>
      <c r="J130" s="39" t="s">
        <v>219</v>
      </c>
      <c r="K130" s="40" t="s">
        <v>22</v>
      </c>
      <c r="L130" s="41"/>
      <c r="M130" s="41"/>
      <c r="N130" s="53"/>
      <c r="O130" s="58" t="s">
        <v>54</v>
      </c>
    </row>
    <row r="131" spans="1:15" ht="26.25">
      <c r="A131" s="32">
        <f>SUBTOTAL(103,$B$2:B131)*1</f>
        <v>130</v>
      </c>
      <c r="B131" s="23" t="s">
        <v>106</v>
      </c>
      <c r="C131" s="23" t="s">
        <v>240</v>
      </c>
      <c r="D131" s="32">
        <v>150</v>
      </c>
      <c r="E131" s="35"/>
      <c r="F131" s="32">
        <v>220</v>
      </c>
      <c r="G131" s="45">
        <v>165.4</v>
      </c>
      <c r="H131" s="32" t="s">
        <v>83</v>
      </c>
      <c r="I131" s="38" t="str">
        <f t="shared" si="4"/>
        <v>Pass</v>
      </c>
      <c r="J131" s="39" t="s">
        <v>219</v>
      </c>
      <c r="K131" s="40" t="s">
        <v>22</v>
      </c>
      <c r="L131" s="41"/>
      <c r="M131" s="41"/>
      <c r="N131" s="53"/>
      <c r="O131" s="58" t="s">
        <v>54</v>
      </c>
    </row>
    <row r="132" spans="1:15" s="22" customFormat="1" ht="26.25">
      <c r="A132" s="32">
        <f>SUBTOTAL(103,$B$2:B132)*1</f>
        <v>131</v>
      </c>
      <c r="B132" s="23" t="s">
        <v>106</v>
      </c>
      <c r="C132" s="61" t="s">
        <v>241</v>
      </c>
      <c r="D132" s="32"/>
      <c r="E132" s="35">
        <v>101.01</v>
      </c>
      <c r="F132" s="32"/>
      <c r="G132" s="37">
        <v>101.01</v>
      </c>
      <c r="H132" s="32" t="s">
        <v>83</v>
      </c>
      <c r="I132" s="38" t="str">
        <f>IF(G132="","",IF(G132=E132,"Pass","Fail"))</f>
        <v>Pass</v>
      </c>
      <c r="J132" s="39" t="s">
        <v>219</v>
      </c>
      <c r="K132" s="40"/>
      <c r="L132" s="52"/>
      <c r="M132" s="52"/>
      <c r="N132" s="53"/>
      <c r="O132" s="58" t="s">
        <v>54</v>
      </c>
    </row>
    <row r="133" spans="1:15" s="22" customFormat="1" ht="26.25">
      <c r="A133" s="32">
        <f>SUBTOTAL(103,$B$2:B133)*1</f>
        <v>132</v>
      </c>
      <c r="B133" s="28" t="s">
        <v>145</v>
      </c>
      <c r="C133" s="23" t="s">
        <v>242</v>
      </c>
      <c r="D133" s="32"/>
      <c r="E133" s="35" t="s">
        <v>48</v>
      </c>
      <c r="F133" s="32"/>
      <c r="G133" s="37" t="s">
        <v>48</v>
      </c>
      <c r="H133" s="32" t="s">
        <v>16</v>
      </c>
      <c r="I133" s="38" t="str">
        <f>IF(G133="","",IF(G133=E133,"Pass","Fail"))</f>
        <v>Pass</v>
      </c>
      <c r="J133" s="39" t="s">
        <v>219</v>
      </c>
      <c r="K133" s="40"/>
      <c r="L133" s="52"/>
      <c r="M133" s="52"/>
      <c r="N133" s="53"/>
      <c r="O133" s="43"/>
    </row>
    <row r="134" spans="1:15" s="22" customFormat="1" ht="26.25">
      <c r="A134" s="32">
        <f>SUBTOTAL(103,$B$2:B134)*1</f>
        <v>133</v>
      </c>
      <c r="B134" s="28" t="s">
        <v>145</v>
      </c>
      <c r="C134" s="23" t="s">
        <v>243</v>
      </c>
      <c r="D134" s="32"/>
      <c r="E134" s="35"/>
      <c r="F134" s="32">
        <v>5</v>
      </c>
      <c r="G134" s="45">
        <v>1.8</v>
      </c>
      <c r="H134" s="32" t="s">
        <v>83</v>
      </c>
      <c r="I134" s="38" t="str">
        <f>IF(G134="","",IF(AND(G134&lt;=F134),"Pass","Fail"))</f>
        <v>Pass</v>
      </c>
      <c r="J134" s="39" t="s">
        <v>219</v>
      </c>
      <c r="K134" s="40" t="s">
        <v>22</v>
      </c>
      <c r="L134" s="41"/>
      <c r="M134" s="41"/>
      <c r="N134" s="46" t="s">
        <v>244</v>
      </c>
      <c r="O134" s="43"/>
    </row>
    <row r="135" spans="1:15" s="22" customFormat="1" ht="26.25">
      <c r="A135" s="32">
        <f>SUBTOTAL(103,$B$2:B135)*1</f>
        <v>134</v>
      </c>
      <c r="B135" s="28" t="s">
        <v>245</v>
      </c>
      <c r="C135" s="23" t="s">
        <v>246</v>
      </c>
      <c r="D135" s="32"/>
      <c r="E135" s="35" t="s">
        <v>48</v>
      </c>
      <c r="F135" s="32"/>
      <c r="G135" s="37" t="s">
        <v>48</v>
      </c>
      <c r="H135" s="32" t="s">
        <v>16</v>
      </c>
      <c r="I135" s="38" t="str">
        <f t="shared" ref="I135:I151" si="5">IF(G135="","",IF(G135=E135,"Pass","Fail"))</f>
        <v>Pass</v>
      </c>
      <c r="J135" s="39" t="s">
        <v>247</v>
      </c>
      <c r="K135" s="40"/>
      <c r="L135" s="52"/>
      <c r="M135" s="52"/>
      <c r="N135" s="53" t="s">
        <v>248</v>
      </c>
      <c r="O135" s="43"/>
    </row>
    <row r="136" spans="1:15" s="22" customFormat="1" ht="26.25">
      <c r="A136" s="32">
        <f>SUBTOTAL(103,$B$2:B136)*1</f>
        <v>135</v>
      </c>
      <c r="B136" s="23" t="s">
        <v>245</v>
      </c>
      <c r="C136" s="23" t="s">
        <v>249</v>
      </c>
      <c r="D136" s="32"/>
      <c r="E136" s="35" t="s">
        <v>250</v>
      </c>
      <c r="F136" s="32"/>
      <c r="G136" s="37" t="s">
        <v>250</v>
      </c>
      <c r="H136" s="32" t="s">
        <v>16</v>
      </c>
      <c r="I136" s="38" t="str">
        <f t="shared" si="5"/>
        <v>Pass</v>
      </c>
      <c r="J136" s="39" t="s">
        <v>247</v>
      </c>
      <c r="K136" s="40"/>
      <c r="L136" s="52"/>
      <c r="M136" s="52"/>
      <c r="N136" s="53" t="s">
        <v>251</v>
      </c>
      <c r="O136" s="58" t="s">
        <v>54</v>
      </c>
    </row>
    <row r="137" spans="1:15" s="22" customFormat="1" ht="26.25">
      <c r="A137" s="32">
        <f>SUBTOTAL(103,$B$2:B137)*1</f>
        <v>136</v>
      </c>
      <c r="B137" s="23" t="s">
        <v>252</v>
      </c>
      <c r="C137" s="23" t="s">
        <v>253</v>
      </c>
      <c r="D137" s="32"/>
      <c r="E137" s="35" t="s">
        <v>254</v>
      </c>
      <c r="F137" s="75"/>
      <c r="G137" s="37" t="s">
        <v>254</v>
      </c>
      <c r="H137" s="32" t="s">
        <v>16</v>
      </c>
      <c r="I137" s="38" t="str">
        <f t="shared" si="5"/>
        <v>Pass</v>
      </c>
      <c r="J137" s="39" t="s">
        <v>247</v>
      </c>
      <c r="K137" s="40"/>
      <c r="L137" s="41"/>
      <c r="M137" s="41"/>
      <c r="N137" s="53"/>
      <c r="O137" s="58" t="s">
        <v>54</v>
      </c>
    </row>
    <row r="138" spans="1:15" s="22" customFormat="1" ht="26.25">
      <c r="A138" s="32">
        <f>SUBTOTAL(103,$B$2:B138)*1</f>
        <v>137</v>
      </c>
      <c r="B138" s="28" t="s">
        <v>252</v>
      </c>
      <c r="C138" s="23" t="s">
        <v>255</v>
      </c>
      <c r="D138" s="32"/>
      <c r="E138" s="35" t="s">
        <v>48</v>
      </c>
      <c r="F138" s="32"/>
      <c r="G138" s="37" t="s">
        <v>48</v>
      </c>
      <c r="H138" s="32" t="s">
        <v>16</v>
      </c>
      <c r="I138" s="38" t="str">
        <f t="shared" si="5"/>
        <v>Pass</v>
      </c>
      <c r="J138" s="39" t="s">
        <v>247</v>
      </c>
      <c r="K138" s="40"/>
      <c r="L138" s="52"/>
      <c r="M138" s="52"/>
      <c r="N138" s="53"/>
      <c r="O138" s="58" t="s">
        <v>54</v>
      </c>
    </row>
    <row r="139" spans="1:15" s="22" customFormat="1" ht="26.25">
      <c r="A139" s="32">
        <f>SUBTOTAL(103,$B$2:B139)*1</f>
        <v>138</v>
      </c>
      <c r="B139" s="23" t="s">
        <v>252</v>
      </c>
      <c r="C139" s="23" t="s">
        <v>256</v>
      </c>
      <c r="D139" s="32"/>
      <c r="E139" s="35" t="s">
        <v>48</v>
      </c>
      <c r="F139" s="32"/>
      <c r="G139" s="45" t="s">
        <v>48</v>
      </c>
      <c r="H139" s="32" t="s">
        <v>16</v>
      </c>
      <c r="I139" s="38" t="str">
        <f t="shared" si="5"/>
        <v>Pass</v>
      </c>
      <c r="J139" s="39" t="s">
        <v>247</v>
      </c>
      <c r="K139" s="40"/>
      <c r="L139" s="52"/>
      <c r="M139" s="52"/>
      <c r="N139" s="53"/>
      <c r="O139" s="58" t="s">
        <v>54</v>
      </c>
    </row>
    <row r="140" spans="1:15" s="22" customFormat="1" ht="26.25">
      <c r="A140" s="32">
        <f>SUBTOTAL(103,$B$2:B140)*1</f>
        <v>139</v>
      </c>
      <c r="B140" s="23" t="s">
        <v>252</v>
      </c>
      <c r="C140" s="23" t="s">
        <v>257</v>
      </c>
      <c r="D140" s="32"/>
      <c r="E140" s="35" t="s">
        <v>258</v>
      </c>
      <c r="F140" s="32"/>
      <c r="G140" s="45" t="s">
        <v>258</v>
      </c>
      <c r="H140" s="32" t="s">
        <v>16</v>
      </c>
      <c r="I140" s="38" t="str">
        <f t="shared" si="5"/>
        <v>Pass</v>
      </c>
      <c r="J140" s="39" t="s">
        <v>247</v>
      </c>
      <c r="K140" s="40"/>
      <c r="L140" s="52"/>
      <c r="M140" s="52"/>
      <c r="N140" s="53"/>
      <c r="O140" s="58" t="s">
        <v>54</v>
      </c>
    </row>
    <row r="141" spans="1:15" s="22" customFormat="1" ht="26.25">
      <c r="A141" s="32">
        <f>SUBTOTAL(103,$B$2:B141)*1</f>
        <v>140</v>
      </c>
      <c r="B141" s="28" t="s">
        <v>252</v>
      </c>
      <c r="C141" s="23" t="s">
        <v>259</v>
      </c>
      <c r="D141" s="32"/>
      <c r="E141" s="35" t="s">
        <v>258</v>
      </c>
      <c r="F141" s="32"/>
      <c r="G141" s="45" t="s">
        <v>258</v>
      </c>
      <c r="H141" s="32" t="s">
        <v>16</v>
      </c>
      <c r="I141" s="38" t="str">
        <f t="shared" si="5"/>
        <v>Pass</v>
      </c>
      <c r="J141" s="39" t="s">
        <v>247</v>
      </c>
      <c r="K141" s="40"/>
      <c r="L141" s="52"/>
      <c r="M141" s="52"/>
      <c r="N141" s="53"/>
      <c r="O141" s="58"/>
    </row>
    <row r="142" spans="1:15" s="22" customFormat="1" ht="26.25">
      <c r="A142" s="32">
        <f>SUBTOTAL(103,$B$2:B142)*1</f>
        <v>141</v>
      </c>
      <c r="B142" s="28" t="s">
        <v>252</v>
      </c>
      <c r="C142" s="61" t="s">
        <v>260</v>
      </c>
      <c r="D142" s="32"/>
      <c r="E142" s="35" t="s">
        <v>48</v>
      </c>
      <c r="F142" s="32"/>
      <c r="G142" s="37" t="s">
        <v>48</v>
      </c>
      <c r="H142" s="32" t="s">
        <v>16</v>
      </c>
      <c r="I142" s="38" t="str">
        <f t="shared" si="5"/>
        <v>Pass</v>
      </c>
      <c r="J142" s="39" t="s">
        <v>247</v>
      </c>
      <c r="K142" s="40"/>
      <c r="L142" s="52"/>
      <c r="M142" s="52"/>
      <c r="N142" s="46" t="s">
        <v>261</v>
      </c>
      <c r="O142" s="58"/>
    </row>
    <row r="143" spans="1:15" s="22" customFormat="1" ht="26.25">
      <c r="A143" s="32">
        <f>SUBTOTAL(103,$B$2:B143)*1</f>
        <v>142</v>
      </c>
      <c r="B143" s="28" t="s">
        <v>252</v>
      </c>
      <c r="C143" s="61" t="s">
        <v>262</v>
      </c>
      <c r="D143" s="32"/>
      <c r="E143" s="35">
        <v>0</v>
      </c>
      <c r="F143" s="32"/>
      <c r="G143" s="37">
        <v>0</v>
      </c>
      <c r="H143" s="32" t="s">
        <v>16</v>
      </c>
      <c r="I143" s="38" t="str">
        <f t="shared" si="5"/>
        <v>Pass</v>
      </c>
      <c r="J143" s="39" t="s">
        <v>247</v>
      </c>
      <c r="K143" s="40"/>
      <c r="L143" s="52"/>
      <c r="M143" s="52"/>
      <c r="N143" s="46" t="s">
        <v>263</v>
      </c>
      <c r="O143" s="58"/>
    </row>
    <row r="144" spans="1:15" s="22" customFormat="1" ht="26.25">
      <c r="A144" s="32">
        <f>SUBTOTAL(103,$B$2:B144)*1</f>
        <v>143</v>
      </c>
      <c r="B144" s="23" t="s">
        <v>252</v>
      </c>
      <c r="C144" s="61" t="s">
        <v>264</v>
      </c>
      <c r="D144" s="32"/>
      <c r="E144" s="35" t="s">
        <v>258</v>
      </c>
      <c r="F144" s="32"/>
      <c r="G144" s="45" t="s">
        <v>258</v>
      </c>
      <c r="H144" s="32" t="s">
        <v>16</v>
      </c>
      <c r="I144" s="38" t="str">
        <f t="shared" si="5"/>
        <v>Pass</v>
      </c>
      <c r="J144" s="39" t="s">
        <v>247</v>
      </c>
      <c r="K144" s="40"/>
      <c r="L144" s="52"/>
      <c r="M144" s="52"/>
      <c r="N144" s="53"/>
      <c r="O144" s="58" t="s">
        <v>54</v>
      </c>
    </row>
    <row r="145" spans="1:15" s="22" customFormat="1" ht="26.25">
      <c r="A145" s="32">
        <f>SUBTOTAL(103,$B$2:B145)*1</f>
        <v>144</v>
      </c>
      <c r="B145" s="23" t="s">
        <v>252</v>
      </c>
      <c r="C145" s="61" t="s">
        <v>265</v>
      </c>
      <c r="D145" s="32"/>
      <c r="E145" s="35" t="str">
        <f>IF(E150="(선택)","",IF(E150="Window11 64bit","24H2","22H2"))</f>
        <v>24H2</v>
      </c>
      <c r="F145" s="32"/>
      <c r="G145" s="45" t="s">
        <v>266</v>
      </c>
      <c r="H145" s="32" t="s">
        <v>267</v>
      </c>
      <c r="I145" s="38" t="str">
        <f t="shared" si="5"/>
        <v>Pass</v>
      </c>
      <c r="J145" s="39" t="s">
        <v>247</v>
      </c>
      <c r="K145" s="40"/>
      <c r="L145" s="52"/>
      <c r="M145" s="52"/>
      <c r="N145" s="46" t="s">
        <v>268</v>
      </c>
      <c r="O145" s="58" t="s">
        <v>54</v>
      </c>
    </row>
    <row r="146" spans="1:15" s="22" customFormat="1" ht="26.25">
      <c r="A146" s="32">
        <f>SUBTOTAL(103,$B$2:B146)*1</f>
        <v>145</v>
      </c>
      <c r="B146" s="23" t="s">
        <v>252</v>
      </c>
      <c r="C146" s="23" t="s">
        <v>269</v>
      </c>
      <c r="D146" s="32"/>
      <c r="E146" s="35" t="s">
        <v>48</v>
      </c>
      <c r="F146" s="32"/>
      <c r="G146" s="45" t="s">
        <v>48</v>
      </c>
      <c r="H146" s="32" t="s">
        <v>16</v>
      </c>
      <c r="I146" s="38" t="str">
        <f t="shared" si="5"/>
        <v>Pass</v>
      </c>
      <c r="J146" s="39" t="s">
        <v>247</v>
      </c>
      <c r="K146" s="40"/>
      <c r="L146" s="52"/>
      <c r="M146" s="52"/>
      <c r="N146" s="53"/>
      <c r="O146" s="58" t="s">
        <v>54</v>
      </c>
    </row>
    <row r="147" spans="1:15" s="22" customFormat="1" ht="26.25">
      <c r="A147" s="32">
        <f>SUBTOTAL(103,$B$2:B147)*1</f>
        <v>146</v>
      </c>
      <c r="B147" s="23" t="s">
        <v>252</v>
      </c>
      <c r="C147" s="23" t="s">
        <v>270</v>
      </c>
      <c r="D147" s="32"/>
      <c r="E147" s="35" t="s">
        <v>48</v>
      </c>
      <c r="F147" s="32"/>
      <c r="G147" s="45" t="s">
        <v>48</v>
      </c>
      <c r="H147" s="32" t="s">
        <v>16</v>
      </c>
      <c r="I147" s="38" t="str">
        <f t="shared" si="5"/>
        <v>Pass</v>
      </c>
      <c r="J147" s="39" t="s">
        <v>247</v>
      </c>
      <c r="K147" s="40"/>
      <c r="L147" s="52"/>
      <c r="M147" s="52"/>
      <c r="N147" s="53"/>
      <c r="O147" s="58"/>
    </row>
    <row r="148" spans="1:15" s="22" customFormat="1" ht="26.25">
      <c r="A148" s="32">
        <f>SUBTOTAL(103,$B$2:B148)*1</f>
        <v>147</v>
      </c>
      <c r="B148" s="23" t="s">
        <v>252</v>
      </c>
      <c r="C148" s="33" t="s">
        <v>271</v>
      </c>
      <c r="D148" s="32"/>
      <c r="E148" s="35" t="s">
        <v>48</v>
      </c>
      <c r="F148" s="32"/>
      <c r="G148" s="45" t="s">
        <v>48</v>
      </c>
      <c r="H148" s="32" t="s">
        <v>16</v>
      </c>
      <c r="I148" s="38" t="str">
        <f t="shared" si="5"/>
        <v>Pass</v>
      </c>
      <c r="J148" s="39" t="s">
        <v>247</v>
      </c>
      <c r="K148" s="40"/>
      <c r="L148" s="52"/>
      <c r="M148" s="52"/>
      <c r="N148" s="46" t="s">
        <v>272</v>
      </c>
      <c r="O148" s="58" t="s">
        <v>54</v>
      </c>
    </row>
    <row r="149" spans="1:15" s="22" customFormat="1" ht="26.25">
      <c r="A149" s="32">
        <f>SUBTOTAL(103,$B$2:B149)*1</f>
        <v>148</v>
      </c>
      <c r="B149" s="23" t="s">
        <v>252</v>
      </c>
      <c r="C149" s="33" t="s">
        <v>273</v>
      </c>
      <c r="D149" s="32"/>
      <c r="E149" s="35" t="s">
        <v>48</v>
      </c>
      <c r="F149" s="32"/>
      <c r="G149" s="45" t="s">
        <v>48</v>
      </c>
      <c r="H149" s="32" t="s">
        <v>16</v>
      </c>
      <c r="I149" s="38" t="str">
        <f t="shared" si="5"/>
        <v>Pass</v>
      </c>
      <c r="J149" s="39" t="s">
        <v>247</v>
      </c>
      <c r="K149" s="40"/>
      <c r="L149" s="52"/>
      <c r="M149" s="52"/>
      <c r="N149" s="46" t="s">
        <v>274</v>
      </c>
      <c r="O149" s="58" t="s">
        <v>54</v>
      </c>
    </row>
    <row r="150" spans="1:15" s="22" customFormat="1" ht="26.25">
      <c r="A150" s="32">
        <f>SUBTOTAL(103,$B$2:B150)*1</f>
        <v>149</v>
      </c>
      <c r="B150" s="23" t="s">
        <v>252</v>
      </c>
      <c r="C150" s="23" t="s">
        <v>275</v>
      </c>
      <c r="D150" s="32"/>
      <c r="E150" s="35" t="s">
        <v>276</v>
      </c>
      <c r="F150" s="32"/>
      <c r="G150" s="45" t="s">
        <v>276</v>
      </c>
      <c r="H150" s="32" t="s">
        <v>16</v>
      </c>
      <c r="I150" s="38" t="str">
        <f t="shared" si="5"/>
        <v>Pass</v>
      </c>
      <c r="J150" s="39" t="s">
        <v>247</v>
      </c>
      <c r="K150" s="40"/>
      <c r="L150" s="52"/>
      <c r="M150" s="52"/>
      <c r="N150" s="53"/>
      <c r="O150" s="58" t="s">
        <v>54</v>
      </c>
    </row>
    <row r="151" spans="1:15" s="22" customFormat="1" ht="26.25">
      <c r="A151" s="32">
        <f>SUBTOTAL(103,$B$2:B151)*1</f>
        <v>150</v>
      </c>
      <c r="B151" s="23" t="s">
        <v>252</v>
      </c>
      <c r="C151" s="23" t="s">
        <v>277</v>
      </c>
      <c r="D151" s="32"/>
      <c r="E151" s="35" t="s">
        <v>278</v>
      </c>
      <c r="F151" s="32"/>
      <c r="G151" s="37" t="s">
        <v>278</v>
      </c>
      <c r="H151" s="32" t="s">
        <v>16</v>
      </c>
      <c r="I151" s="38" t="str">
        <f t="shared" si="5"/>
        <v>Pass</v>
      </c>
      <c r="J151" s="39" t="s">
        <v>247</v>
      </c>
      <c r="K151" s="40"/>
      <c r="L151" s="52"/>
      <c r="M151" s="52"/>
      <c r="N151" s="53"/>
      <c r="O151" s="58" t="s">
        <v>54</v>
      </c>
    </row>
    <row r="152" spans="1:15" s="22" customFormat="1" ht="26.25">
      <c r="A152" s="32">
        <f>SUBTOTAL(103,$B$2:B152)*1</f>
        <v>151</v>
      </c>
      <c r="B152" s="23" t="s">
        <v>252</v>
      </c>
      <c r="C152" s="23" t="s">
        <v>279</v>
      </c>
      <c r="D152" s="32">
        <v>4.5999999999999996</v>
      </c>
      <c r="E152" s="35"/>
      <c r="F152" s="32"/>
      <c r="G152" s="45" t="s">
        <v>280</v>
      </c>
      <c r="H152" s="32" t="s">
        <v>267</v>
      </c>
      <c r="I152" s="38" t="str">
        <f>IF(G152="","",IF(G152&gt;=D152,"Pass","Fail"))</f>
        <v>Pass</v>
      </c>
      <c r="J152" s="39" t="s">
        <v>247</v>
      </c>
      <c r="K152" s="40"/>
      <c r="L152" s="52"/>
      <c r="M152" s="52"/>
      <c r="N152" s="46" t="s">
        <v>281</v>
      </c>
      <c r="O152" s="58" t="s">
        <v>54</v>
      </c>
    </row>
    <row r="153" spans="1:15" s="22" customFormat="1" ht="26.25">
      <c r="A153" s="32">
        <f>SUBTOTAL(103,$B$2:B153)*1</f>
        <v>152</v>
      </c>
      <c r="B153" s="23" t="s">
        <v>252</v>
      </c>
      <c r="C153" s="23" t="s">
        <v>282</v>
      </c>
      <c r="D153" s="32"/>
      <c r="E153" s="35" t="s">
        <v>48</v>
      </c>
      <c r="F153" s="32"/>
      <c r="G153" s="45" t="s">
        <v>48</v>
      </c>
      <c r="H153" s="32" t="s">
        <v>16</v>
      </c>
      <c r="I153" s="38" t="str">
        <f>IF(G153="","",IF(G153=E153,"Pass","Fail"))</f>
        <v>Pass</v>
      </c>
      <c r="J153" s="39" t="s">
        <v>247</v>
      </c>
      <c r="K153" s="40"/>
      <c r="L153" s="52"/>
      <c r="M153" s="52"/>
      <c r="N153" s="46" t="s">
        <v>283</v>
      </c>
      <c r="O153" s="58" t="s">
        <v>54</v>
      </c>
    </row>
    <row r="154" spans="1:15" s="22" customFormat="1" ht="26.25">
      <c r="A154" s="32">
        <f>SUBTOTAL(103,$B$2:B154)*1</f>
        <v>153</v>
      </c>
      <c r="B154" s="23" t="s">
        <v>252</v>
      </c>
      <c r="C154" s="23" t="s">
        <v>284</v>
      </c>
      <c r="D154" s="32"/>
      <c r="E154" s="35" t="s">
        <v>285</v>
      </c>
      <c r="F154" s="32"/>
      <c r="G154" s="45" t="s">
        <v>285</v>
      </c>
      <c r="H154" s="32" t="s">
        <v>16</v>
      </c>
      <c r="I154" s="38" t="str">
        <f>IF(G154="","",IF(G154=E154,"Pass","Fail"))</f>
        <v>Pass</v>
      </c>
      <c r="J154" s="39" t="s">
        <v>247</v>
      </c>
      <c r="K154" s="40"/>
      <c r="L154" s="52"/>
      <c r="M154" s="52"/>
      <c r="N154" s="53"/>
      <c r="O154" s="58" t="s">
        <v>54</v>
      </c>
    </row>
    <row r="155" spans="1:15" s="22" customFormat="1" ht="26.25">
      <c r="A155" s="32">
        <f>SUBTOTAL(103,$B$2:B155)*1</f>
        <v>154</v>
      </c>
      <c r="B155" s="23" t="s">
        <v>252</v>
      </c>
      <c r="C155" s="23" t="s">
        <v>286</v>
      </c>
      <c r="D155" s="32"/>
      <c r="E155" s="35" t="s">
        <v>48</v>
      </c>
      <c r="F155" s="32"/>
      <c r="G155" s="45" t="s">
        <v>48</v>
      </c>
      <c r="H155" s="32" t="s">
        <v>16</v>
      </c>
      <c r="I155" s="38" t="str">
        <f>IF(G155="","",IF(G155=E155,"Pass","Fail"))</f>
        <v>Pass</v>
      </c>
      <c r="J155" s="39" t="s">
        <v>247</v>
      </c>
      <c r="K155" s="40"/>
      <c r="L155" s="52"/>
      <c r="M155" s="52"/>
      <c r="N155" s="46" t="s">
        <v>287</v>
      </c>
      <c r="O155" s="58" t="s">
        <v>54</v>
      </c>
    </row>
    <row r="156" spans="1:15" s="22" customFormat="1" ht="26.25">
      <c r="A156" s="32">
        <f>SUBTOTAL(103,$B$2:B156)*1</f>
        <v>155</v>
      </c>
      <c r="B156" s="23" t="s">
        <v>252</v>
      </c>
      <c r="C156" s="23" t="s">
        <v>288</v>
      </c>
      <c r="D156" s="32"/>
      <c r="E156" s="35" t="s">
        <v>289</v>
      </c>
      <c r="F156" s="32"/>
      <c r="G156" s="37" t="s">
        <v>289</v>
      </c>
      <c r="H156" s="32"/>
      <c r="I156" s="38" t="str">
        <f>IF(G156="","",IF(G156=E156,"Pass","Fail"))</f>
        <v>Pass</v>
      </c>
      <c r="J156" s="39" t="s">
        <v>247</v>
      </c>
      <c r="K156" s="40"/>
      <c r="L156" s="52"/>
      <c r="M156" s="52"/>
      <c r="N156" s="53" t="s">
        <v>290</v>
      </c>
      <c r="O156" s="58" t="s">
        <v>54</v>
      </c>
    </row>
    <row r="157" spans="1:15" s="22" customFormat="1" ht="26.25">
      <c r="A157" s="32">
        <f>SUBTOTAL(103,$B$2:B157)*1</f>
        <v>156</v>
      </c>
      <c r="B157" s="23" t="s">
        <v>252</v>
      </c>
      <c r="C157" s="23" t="s">
        <v>291</v>
      </c>
      <c r="D157" s="32"/>
      <c r="E157" s="35" t="s">
        <v>100</v>
      </c>
      <c r="F157" s="32"/>
      <c r="G157" s="37" t="s">
        <v>100</v>
      </c>
      <c r="H157" s="32"/>
      <c r="I157" s="38" t="s">
        <v>19</v>
      </c>
      <c r="J157" s="39" t="s">
        <v>247</v>
      </c>
      <c r="K157" s="40"/>
      <c r="L157" s="52"/>
      <c r="M157" s="52"/>
      <c r="N157" s="53"/>
      <c r="O157" s="58" t="s">
        <v>54</v>
      </c>
    </row>
    <row r="158" spans="1:15" s="22" customFormat="1" ht="26.25">
      <c r="A158" s="32">
        <f>SUBTOTAL(103,$B$2:B158)*1</f>
        <v>157</v>
      </c>
      <c r="B158" s="23" t="s">
        <v>292</v>
      </c>
      <c r="C158" s="83" t="s">
        <v>293</v>
      </c>
      <c r="D158" s="32"/>
      <c r="E158" s="35" t="s">
        <v>48</v>
      </c>
      <c r="F158" s="32"/>
      <c r="G158" s="37" t="s">
        <v>48</v>
      </c>
      <c r="H158" s="32" t="s">
        <v>16</v>
      </c>
      <c r="I158" s="38" t="str">
        <f>IF(G158="","",IF(G158=E158,"Pass","Fail"))</f>
        <v>Pass</v>
      </c>
      <c r="J158" s="39" t="s">
        <v>247</v>
      </c>
      <c r="K158" s="40"/>
      <c r="L158" s="52"/>
      <c r="M158" s="52"/>
      <c r="N158" s="53" t="s">
        <v>294</v>
      </c>
      <c r="O158" s="58" t="s">
        <v>54</v>
      </c>
    </row>
    <row r="159" spans="1:15" s="22" customFormat="1" ht="26.25">
      <c r="A159" s="32">
        <f>SUBTOTAL(103,$B$2:B159)*1</f>
        <v>158</v>
      </c>
      <c r="B159" s="23" t="s">
        <v>292</v>
      </c>
      <c r="C159" s="83" t="s">
        <v>295</v>
      </c>
      <c r="D159" s="32"/>
      <c r="E159" s="35" t="s">
        <v>48</v>
      </c>
      <c r="F159" s="32"/>
      <c r="G159" s="37" t="s">
        <v>48</v>
      </c>
      <c r="H159" s="32" t="s">
        <v>16</v>
      </c>
      <c r="I159" s="38" t="str">
        <f>IF(G159="","",IF(G159=E159,"Pass","Fail"))</f>
        <v>Pass</v>
      </c>
      <c r="J159" s="39" t="s">
        <v>247</v>
      </c>
      <c r="K159" s="40"/>
      <c r="L159" s="52"/>
      <c r="M159" s="52"/>
      <c r="N159" s="53"/>
      <c r="O159" s="58" t="s">
        <v>54</v>
      </c>
    </row>
    <row r="160" spans="1:15" s="22" customFormat="1" ht="26.25">
      <c r="A160" s="32">
        <f>SUBTOTAL(103,$B$2:B160)*1</f>
        <v>159</v>
      </c>
      <c r="B160" s="23" t="s">
        <v>292</v>
      </c>
      <c r="C160" s="83" t="s">
        <v>296</v>
      </c>
      <c r="D160" s="32"/>
      <c r="E160" s="35" t="s">
        <v>48</v>
      </c>
      <c r="F160" s="32"/>
      <c r="G160" s="37" t="s">
        <v>48</v>
      </c>
      <c r="H160" s="32" t="s">
        <v>16</v>
      </c>
      <c r="I160" s="38" t="str">
        <f>IF(G160="","",IF(G160=E160,"Pass","Fail"))</f>
        <v>Pass</v>
      </c>
      <c r="J160" s="39" t="s">
        <v>247</v>
      </c>
      <c r="K160" s="40"/>
      <c r="L160" s="52"/>
      <c r="M160" s="52"/>
      <c r="N160" s="53"/>
      <c r="O160" s="58" t="s">
        <v>54</v>
      </c>
    </row>
    <row r="161" spans="1:15" s="22" customFormat="1" ht="26.25">
      <c r="A161" s="32">
        <f>SUBTOTAL(103,$B$2:B161)*1</f>
        <v>160</v>
      </c>
      <c r="B161" s="23" t="s">
        <v>292</v>
      </c>
      <c r="C161" s="23" t="s">
        <v>297</v>
      </c>
      <c r="D161" s="32"/>
      <c r="E161" s="35" t="s">
        <v>298</v>
      </c>
      <c r="F161" s="32"/>
      <c r="G161" s="37" t="s">
        <v>298</v>
      </c>
      <c r="H161" s="32" t="s">
        <v>16</v>
      </c>
      <c r="I161" s="38" t="str">
        <f>IF(G161="","",IF(G161=E161,"Pass","Fail"))</f>
        <v>Pass</v>
      </c>
      <c r="J161" s="39" t="s">
        <v>247</v>
      </c>
      <c r="K161" s="40"/>
      <c r="L161" s="52"/>
      <c r="M161" s="52"/>
      <c r="N161" s="46" t="s">
        <v>299</v>
      </c>
      <c r="O161" s="58" t="s">
        <v>54</v>
      </c>
    </row>
    <row r="162" spans="1:15" s="22" customFormat="1" ht="26.25">
      <c r="A162" s="32">
        <f>SUBTOTAL(103,$B$2:B162)*1</f>
        <v>161</v>
      </c>
      <c r="B162" s="23" t="s">
        <v>292</v>
      </c>
      <c r="C162" s="61" t="s">
        <v>300</v>
      </c>
      <c r="D162" s="32"/>
      <c r="E162" s="35" t="s">
        <v>16</v>
      </c>
      <c r="F162" s="32"/>
      <c r="G162" s="37">
        <v>302.51</v>
      </c>
      <c r="H162" s="32" t="s">
        <v>301</v>
      </c>
      <c r="I162" s="38" t="s">
        <v>19</v>
      </c>
      <c r="J162" s="39" t="s">
        <v>247</v>
      </c>
      <c r="K162" s="40"/>
      <c r="L162" s="52"/>
      <c r="M162" s="52"/>
      <c r="N162" s="46" t="s">
        <v>302</v>
      </c>
      <c r="O162" s="58" t="s">
        <v>54</v>
      </c>
    </row>
    <row r="163" spans="1:15" s="22" customFormat="1" ht="26.25">
      <c r="A163" s="32">
        <f>SUBTOTAL(103,$B$2:B163)*1</f>
        <v>162</v>
      </c>
      <c r="B163" s="23" t="s">
        <v>292</v>
      </c>
      <c r="C163" s="61" t="s">
        <v>303</v>
      </c>
      <c r="D163" s="32"/>
      <c r="E163" s="35" t="s">
        <v>16</v>
      </c>
      <c r="F163" s="32"/>
      <c r="G163" s="37">
        <v>302.62</v>
      </c>
      <c r="H163" s="32" t="s">
        <v>301</v>
      </c>
      <c r="I163" s="38" t="s">
        <v>19</v>
      </c>
      <c r="J163" s="39" t="s">
        <v>247</v>
      </c>
      <c r="K163" s="40"/>
      <c r="L163" s="52"/>
      <c r="M163" s="52"/>
      <c r="N163" s="46" t="s">
        <v>302</v>
      </c>
      <c r="O163" s="58" t="s">
        <v>54</v>
      </c>
    </row>
    <row r="164" spans="1:15" s="22" customFormat="1" ht="26.25">
      <c r="A164" s="32">
        <f>SUBTOTAL(103,$B$2:B164)*1</f>
        <v>163</v>
      </c>
      <c r="B164" s="23" t="s">
        <v>292</v>
      </c>
      <c r="C164" s="61" t="s">
        <v>304</v>
      </c>
      <c r="D164" s="32"/>
      <c r="E164" s="35" t="s">
        <v>16</v>
      </c>
      <c r="F164" s="32"/>
      <c r="G164" s="37">
        <v>86.11</v>
      </c>
      <c r="H164" s="32" t="s">
        <v>301</v>
      </c>
      <c r="I164" s="38" t="s">
        <v>19</v>
      </c>
      <c r="J164" s="39" t="s">
        <v>247</v>
      </c>
      <c r="K164" s="40"/>
      <c r="L164" s="52"/>
      <c r="M164" s="52"/>
      <c r="N164" s="46" t="s">
        <v>302</v>
      </c>
      <c r="O164" s="58" t="s">
        <v>54</v>
      </c>
    </row>
    <row r="165" spans="1:15" s="22" customFormat="1" ht="26.25">
      <c r="A165" s="32">
        <f>SUBTOTAL(103,$B$2:B165)*1</f>
        <v>164</v>
      </c>
      <c r="B165" s="23" t="s">
        <v>292</v>
      </c>
      <c r="C165" s="61" t="s">
        <v>305</v>
      </c>
      <c r="D165" s="32"/>
      <c r="E165" s="35" t="s">
        <v>16</v>
      </c>
      <c r="F165" s="32"/>
      <c r="G165" s="37">
        <v>86.21</v>
      </c>
      <c r="H165" s="32" t="s">
        <v>301</v>
      </c>
      <c r="I165" s="38" t="s">
        <v>19</v>
      </c>
      <c r="J165" s="39" t="s">
        <v>247</v>
      </c>
      <c r="K165" s="40"/>
      <c r="L165" s="52"/>
      <c r="M165" s="52"/>
      <c r="N165" s="46" t="s">
        <v>302</v>
      </c>
      <c r="O165" s="58" t="s">
        <v>54</v>
      </c>
    </row>
    <row r="166" spans="1:15" s="22" customFormat="1" ht="26.25">
      <c r="A166" s="32">
        <f>SUBTOTAL(103,$B$2:B166)*1</f>
        <v>165</v>
      </c>
      <c r="B166" s="28" t="s">
        <v>292</v>
      </c>
      <c r="C166" s="61" t="s">
        <v>306</v>
      </c>
      <c r="D166" s="32"/>
      <c r="E166" s="35" t="s">
        <v>48</v>
      </c>
      <c r="F166" s="32"/>
      <c r="G166" s="37" t="s">
        <v>48</v>
      </c>
      <c r="H166" s="32" t="s">
        <v>16</v>
      </c>
      <c r="I166" s="38" t="str">
        <f t="shared" ref="I166:I179" si="6">IF(G166="","",IF(G166=E166,"Pass","Fail"))</f>
        <v>Pass</v>
      </c>
      <c r="J166" s="39" t="s">
        <v>247</v>
      </c>
      <c r="K166" s="40"/>
      <c r="L166" s="52"/>
      <c r="M166" s="52"/>
      <c r="N166" s="46" t="s">
        <v>307</v>
      </c>
      <c r="O166" s="43"/>
    </row>
    <row r="167" spans="1:15" s="22" customFormat="1" ht="26.25">
      <c r="A167" s="32">
        <f>SUBTOTAL(103,$B$2:B167)*1</f>
        <v>166</v>
      </c>
      <c r="B167" s="28" t="s">
        <v>292</v>
      </c>
      <c r="C167" s="23" t="s">
        <v>308</v>
      </c>
      <c r="D167" s="32"/>
      <c r="E167" s="35" t="s">
        <v>48</v>
      </c>
      <c r="F167" s="32"/>
      <c r="G167" s="37" t="s">
        <v>48</v>
      </c>
      <c r="H167" s="32" t="s">
        <v>16</v>
      </c>
      <c r="I167" s="38" t="str">
        <f t="shared" si="6"/>
        <v>Pass</v>
      </c>
      <c r="J167" s="39" t="s">
        <v>247</v>
      </c>
      <c r="K167" s="40"/>
      <c r="L167" s="52"/>
      <c r="M167" s="52"/>
      <c r="N167" s="46" t="s">
        <v>309</v>
      </c>
      <c r="O167" s="43"/>
    </row>
    <row r="168" spans="1:15" s="22" customFormat="1" ht="26.25">
      <c r="A168" s="32">
        <f>SUBTOTAL(103,$B$2:B168)*1</f>
        <v>167</v>
      </c>
      <c r="B168" s="23" t="s">
        <v>292</v>
      </c>
      <c r="C168" s="51" t="s">
        <v>310</v>
      </c>
      <c r="D168" s="32"/>
      <c r="E168" s="35" t="s">
        <v>258</v>
      </c>
      <c r="F168" s="32"/>
      <c r="G168" s="37" t="s">
        <v>258</v>
      </c>
      <c r="H168" s="32" t="s">
        <v>16</v>
      </c>
      <c r="I168" s="38" t="str">
        <f t="shared" si="6"/>
        <v>Pass</v>
      </c>
      <c r="J168" s="39" t="s">
        <v>247</v>
      </c>
      <c r="K168" s="40"/>
      <c r="L168" s="52"/>
      <c r="M168" s="52"/>
      <c r="N168" s="53"/>
      <c r="O168" s="43"/>
    </row>
    <row r="169" spans="1:15" s="22" customFormat="1" ht="26.25">
      <c r="A169" s="32">
        <f>SUBTOTAL(103,$B$2:B169)*1</f>
        <v>168</v>
      </c>
      <c r="B169" s="28" t="s">
        <v>292</v>
      </c>
      <c r="C169" s="51" t="s">
        <v>311</v>
      </c>
      <c r="D169" s="32"/>
      <c r="E169" s="35" t="s">
        <v>258</v>
      </c>
      <c r="F169" s="32"/>
      <c r="G169" s="37" t="s">
        <v>258</v>
      </c>
      <c r="H169" s="32" t="s">
        <v>16</v>
      </c>
      <c r="I169" s="38" t="str">
        <f t="shared" si="6"/>
        <v>Pass</v>
      </c>
      <c r="J169" s="39" t="s">
        <v>247</v>
      </c>
      <c r="K169" s="40"/>
      <c r="L169" s="52"/>
      <c r="M169" s="52"/>
      <c r="N169" s="53"/>
      <c r="O169" s="43"/>
    </row>
    <row r="170" spans="1:15" s="22" customFormat="1" ht="26.25">
      <c r="A170" s="32">
        <f>SUBTOTAL(103,$B$2:B170)*1</f>
        <v>169</v>
      </c>
      <c r="B170" s="23" t="s">
        <v>292</v>
      </c>
      <c r="C170" s="51" t="s">
        <v>312</v>
      </c>
      <c r="D170" s="32"/>
      <c r="E170" s="35" t="s">
        <v>48</v>
      </c>
      <c r="F170" s="32"/>
      <c r="G170" s="37" t="s">
        <v>48</v>
      </c>
      <c r="H170" s="32" t="s">
        <v>16</v>
      </c>
      <c r="I170" s="38" t="str">
        <f t="shared" si="6"/>
        <v>Pass</v>
      </c>
      <c r="J170" s="39" t="s">
        <v>247</v>
      </c>
      <c r="K170" s="40"/>
      <c r="L170" s="52"/>
      <c r="M170" s="52"/>
      <c r="N170" s="53" t="s">
        <v>313</v>
      </c>
      <c r="O170" s="58" t="s">
        <v>54</v>
      </c>
    </row>
    <row r="171" spans="1:15" s="22" customFormat="1" ht="26.25">
      <c r="A171" s="32">
        <f>SUBTOTAL(103,$B$2:B171)*1</f>
        <v>170</v>
      </c>
      <c r="B171" s="23" t="s">
        <v>292</v>
      </c>
      <c r="C171" s="51" t="s">
        <v>314</v>
      </c>
      <c r="D171" s="32"/>
      <c r="E171" s="35" t="s">
        <v>48</v>
      </c>
      <c r="F171" s="32"/>
      <c r="G171" s="37" t="s">
        <v>48</v>
      </c>
      <c r="H171" s="32" t="s">
        <v>16</v>
      </c>
      <c r="I171" s="38" t="str">
        <f t="shared" si="6"/>
        <v>Pass</v>
      </c>
      <c r="J171" s="39" t="s">
        <v>247</v>
      </c>
      <c r="K171" s="40"/>
      <c r="L171" s="52"/>
      <c r="M171" s="52"/>
      <c r="N171" s="53"/>
      <c r="O171" s="58" t="s">
        <v>54</v>
      </c>
    </row>
    <row r="172" spans="1:15" s="22" customFormat="1" ht="26.25">
      <c r="A172" s="32">
        <f>SUBTOTAL(103,$B$2:B172)*1</f>
        <v>171</v>
      </c>
      <c r="B172" s="28" t="s">
        <v>292</v>
      </c>
      <c r="C172" s="51" t="s">
        <v>315</v>
      </c>
      <c r="D172" s="32"/>
      <c r="E172" s="35" t="s">
        <v>48</v>
      </c>
      <c r="F172" s="32"/>
      <c r="G172" s="37" t="s">
        <v>48</v>
      </c>
      <c r="H172" s="32" t="s">
        <v>16</v>
      </c>
      <c r="I172" s="38" t="str">
        <f t="shared" si="6"/>
        <v>Pass</v>
      </c>
      <c r="J172" s="39" t="s">
        <v>247</v>
      </c>
      <c r="K172" s="40"/>
      <c r="L172" s="52"/>
      <c r="M172" s="52"/>
      <c r="N172" s="46" t="s">
        <v>316</v>
      </c>
      <c r="O172" s="43"/>
    </row>
    <row r="173" spans="1:15" s="22" customFormat="1" ht="26.25">
      <c r="A173" s="32">
        <f>SUBTOTAL(103,$B$2:B173)*1</f>
        <v>172</v>
      </c>
      <c r="B173" s="23" t="s">
        <v>292</v>
      </c>
      <c r="C173" s="51" t="s">
        <v>317</v>
      </c>
      <c r="D173" s="32"/>
      <c r="E173" s="35" t="s">
        <v>48</v>
      </c>
      <c r="F173" s="32"/>
      <c r="G173" s="37" t="s">
        <v>48</v>
      </c>
      <c r="H173" s="32" t="s">
        <v>16</v>
      </c>
      <c r="I173" s="38" t="str">
        <f t="shared" si="6"/>
        <v>Pass</v>
      </c>
      <c r="J173" s="39" t="s">
        <v>247</v>
      </c>
      <c r="K173" s="40"/>
      <c r="L173" s="52"/>
      <c r="M173" s="52"/>
      <c r="N173" s="53"/>
      <c r="O173" s="58" t="s">
        <v>54</v>
      </c>
    </row>
    <row r="174" spans="1:15" s="22" customFormat="1" ht="26.25">
      <c r="A174" s="32">
        <f>SUBTOTAL(103,$B$2:B174)*1</f>
        <v>173</v>
      </c>
      <c r="B174" s="23" t="s">
        <v>292</v>
      </c>
      <c r="C174" s="23" t="s">
        <v>318</v>
      </c>
      <c r="D174" s="32"/>
      <c r="E174" s="35" t="s">
        <v>48</v>
      </c>
      <c r="F174" s="32"/>
      <c r="G174" s="37" t="s">
        <v>48</v>
      </c>
      <c r="H174" s="32" t="s">
        <v>16</v>
      </c>
      <c r="I174" s="38" t="str">
        <f t="shared" si="6"/>
        <v>Pass</v>
      </c>
      <c r="J174" s="39" t="s">
        <v>247</v>
      </c>
      <c r="K174" s="40"/>
      <c r="L174" s="52"/>
      <c r="M174" s="52"/>
      <c r="N174" s="53"/>
      <c r="O174" s="58" t="s">
        <v>54</v>
      </c>
    </row>
    <row r="175" spans="1:15" s="22" customFormat="1" ht="26.25">
      <c r="A175" s="32">
        <f>SUBTOTAL(103,$B$2:B175)*1</f>
        <v>174</v>
      </c>
      <c r="B175" s="23" t="s">
        <v>292</v>
      </c>
      <c r="C175" s="23" t="s">
        <v>319</v>
      </c>
      <c r="D175" s="32"/>
      <c r="E175" s="35" t="s">
        <v>48</v>
      </c>
      <c r="F175" s="32"/>
      <c r="G175" s="37" t="s">
        <v>48</v>
      </c>
      <c r="H175" s="32" t="s">
        <v>16</v>
      </c>
      <c r="I175" s="38" t="str">
        <f t="shared" si="6"/>
        <v>Pass</v>
      </c>
      <c r="J175" s="39" t="s">
        <v>247</v>
      </c>
      <c r="K175" s="40"/>
      <c r="L175" s="52"/>
      <c r="M175" s="52"/>
      <c r="N175" s="53"/>
      <c r="O175" s="58" t="s">
        <v>54</v>
      </c>
    </row>
    <row r="176" spans="1:15" s="22" customFormat="1" ht="26.25">
      <c r="A176" s="32">
        <f>SUBTOTAL(103,$B$2:B176)*1</f>
        <v>175</v>
      </c>
      <c r="B176" s="28" t="s">
        <v>292</v>
      </c>
      <c r="C176" s="23" t="s">
        <v>320</v>
      </c>
      <c r="D176" s="32"/>
      <c r="E176" s="35" t="s">
        <v>48</v>
      </c>
      <c r="F176" s="32"/>
      <c r="G176" s="37" t="s">
        <v>48</v>
      </c>
      <c r="H176" s="32" t="s">
        <v>16</v>
      </c>
      <c r="I176" s="38" t="str">
        <f t="shared" si="6"/>
        <v>Pass</v>
      </c>
      <c r="J176" s="39" t="s">
        <v>247</v>
      </c>
      <c r="K176" s="40"/>
      <c r="L176" s="52"/>
      <c r="M176" s="52"/>
      <c r="N176" s="53" t="s">
        <v>321</v>
      </c>
      <c r="O176" s="43"/>
    </row>
    <row r="177" spans="1:15" s="22" customFormat="1" ht="26.25">
      <c r="A177" s="32">
        <f>SUBTOTAL(103,$B$2:B177)*1</f>
        <v>176</v>
      </c>
      <c r="B177" s="23" t="s">
        <v>292</v>
      </c>
      <c r="C177" s="23" t="s">
        <v>322</v>
      </c>
      <c r="D177" s="32"/>
      <c r="E177" s="35" t="s">
        <v>48</v>
      </c>
      <c r="F177" s="32"/>
      <c r="G177" s="37" t="s">
        <v>48</v>
      </c>
      <c r="H177" s="32" t="s">
        <v>16</v>
      </c>
      <c r="I177" s="38" t="str">
        <f t="shared" si="6"/>
        <v>Pass</v>
      </c>
      <c r="J177" s="39" t="s">
        <v>247</v>
      </c>
      <c r="K177" s="40"/>
      <c r="L177" s="52"/>
      <c r="M177" s="52"/>
      <c r="N177" s="53" t="s">
        <v>323</v>
      </c>
      <c r="O177" s="58" t="s">
        <v>54</v>
      </c>
    </row>
    <row r="178" spans="1:15" s="22" customFormat="1" ht="26.25">
      <c r="A178" s="32">
        <f>SUBTOTAL(103,$B$2:B178)*1</f>
        <v>177</v>
      </c>
      <c r="B178" s="23" t="s">
        <v>292</v>
      </c>
      <c r="C178" s="23" t="s">
        <v>324</v>
      </c>
      <c r="D178" s="32"/>
      <c r="E178" s="35" t="s">
        <v>48</v>
      </c>
      <c r="F178" s="32"/>
      <c r="G178" s="37" t="s">
        <v>48</v>
      </c>
      <c r="H178" s="32" t="s">
        <v>16</v>
      </c>
      <c r="I178" s="38" t="str">
        <f t="shared" si="6"/>
        <v>Pass</v>
      </c>
      <c r="J178" s="39" t="s">
        <v>247</v>
      </c>
      <c r="K178" s="40"/>
      <c r="L178" s="52"/>
      <c r="M178" s="52"/>
      <c r="N178" s="53" t="s">
        <v>325</v>
      </c>
      <c r="O178" s="58"/>
    </row>
    <row r="179" spans="1:15" s="22" customFormat="1" ht="26.25">
      <c r="A179" s="32">
        <f>SUBTOTAL(103,$B$2:B179)*1</f>
        <v>178</v>
      </c>
      <c r="B179" s="23" t="s">
        <v>292</v>
      </c>
      <c r="C179" s="23" t="s">
        <v>326</v>
      </c>
      <c r="D179" s="32"/>
      <c r="E179" s="35" t="s">
        <v>100</v>
      </c>
      <c r="F179" s="32"/>
      <c r="G179" s="37" t="s">
        <v>100</v>
      </c>
      <c r="H179" s="32"/>
      <c r="I179" s="38" t="str">
        <f t="shared" si="6"/>
        <v>Pass</v>
      </c>
      <c r="J179" s="39" t="s">
        <v>247</v>
      </c>
      <c r="K179" s="40"/>
      <c r="L179" s="52"/>
      <c r="M179" s="52"/>
      <c r="N179" s="53" t="s">
        <v>327</v>
      </c>
      <c r="O179" s="43"/>
    </row>
    <row r="180" spans="1:15" s="22" customFormat="1" ht="26.25">
      <c r="A180" s="32">
        <f>SUBTOTAL(103,$B$2:B180)*1</f>
        <v>179</v>
      </c>
      <c r="B180" s="28" t="s">
        <v>292</v>
      </c>
      <c r="C180" s="23" t="s">
        <v>328</v>
      </c>
      <c r="D180" s="32"/>
      <c r="E180" s="35" t="s">
        <v>100</v>
      </c>
      <c r="F180" s="32"/>
      <c r="G180" s="37" t="s">
        <v>100</v>
      </c>
      <c r="H180" s="32"/>
      <c r="I180" s="38" t="s">
        <v>19</v>
      </c>
      <c r="J180" s="39" t="s">
        <v>247</v>
      </c>
      <c r="K180" s="40"/>
      <c r="L180" s="52"/>
      <c r="M180" s="52"/>
      <c r="N180" s="46" t="s">
        <v>329</v>
      </c>
      <c r="O180" s="43"/>
    </row>
    <row r="181" spans="1:15" s="22" customFormat="1" ht="26.25">
      <c r="A181" s="32">
        <f>SUBTOTAL(103,$B$2:B181)*1</f>
        <v>180</v>
      </c>
      <c r="B181" s="28" t="s">
        <v>330</v>
      </c>
      <c r="C181" s="51" t="s">
        <v>331</v>
      </c>
      <c r="D181" s="32"/>
      <c r="E181" s="35"/>
      <c r="F181" s="32">
        <v>0.5</v>
      </c>
      <c r="G181" s="50">
        <v>0.2</v>
      </c>
      <c r="H181" s="32" t="s">
        <v>332</v>
      </c>
      <c r="I181" s="38" t="str">
        <f t="shared" ref="I181:I188" si="7">IF(G181="","",IF(AND(G181&lt;=F181),"Pass","Fail"))</f>
        <v>Pass</v>
      </c>
      <c r="J181" s="39" t="s">
        <v>247</v>
      </c>
      <c r="K181" s="40"/>
      <c r="L181" s="52"/>
      <c r="M181" s="52"/>
      <c r="N181" s="53" t="s">
        <v>333</v>
      </c>
      <c r="O181" s="58" t="s">
        <v>54</v>
      </c>
    </row>
    <row r="182" spans="1:15" s="22" customFormat="1" ht="26.25">
      <c r="A182" s="32">
        <f>SUBTOTAL(103,$B$2:B182)*1</f>
        <v>181</v>
      </c>
      <c r="B182" s="28" t="s">
        <v>330</v>
      </c>
      <c r="C182" s="33" t="s">
        <v>334</v>
      </c>
      <c r="D182" s="32"/>
      <c r="E182" s="35"/>
      <c r="F182" s="32">
        <v>1</v>
      </c>
      <c r="G182" s="50">
        <v>0.5</v>
      </c>
      <c r="H182" s="32" t="s">
        <v>332</v>
      </c>
      <c r="I182" s="38" t="str">
        <f t="shared" si="7"/>
        <v>Pass</v>
      </c>
      <c r="J182" s="39" t="s">
        <v>247</v>
      </c>
      <c r="K182" s="40"/>
      <c r="L182" s="52"/>
      <c r="M182" s="52"/>
      <c r="N182" s="53" t="s">
        <v>333</v>
      </c>
      <c r="O182" s="58" t="s">
        <v>54</v>
      </c>
    </row>
    <row r="183" spans="1:15" s="22" customFormat="1" ht="26.25">
      <c r="A183" s="32">
        <f>SUBTOTAL(103,$B$2:B183)*1</f>
        <v>182</v>
      </c>
      <c r="B183" s="28" t="s">
        <v>330</v>
      </c>
      <c r="C183" s="51" t="s">
        <v>335</v>
      </c>
      <c r="D183" s="32"/>
      <c r="E183" s="35"/>
      <c r="F183" s="32">
        <v>0.5</v>
      </c>
      <c r="G183" s="50">
        <v>0.3</v>
      </c>
      <c r="H183" s="32" t="s">
        <v>332</v>
      </c>
      <c r="I183" s="38" t="str">
        <f t="shared" si="7"/>
        <v>Pass</v>
      </c>
      <c r="J183" s="39" t="s">
        <v>247</v>
      </c>
      <c r="K183" s="40"/>
      <c r="L183" s="52"/>
      <c r="M183" s="52"/>
      <c r="N183" s="53" t="s">
        <v>333</v>
      </c>
      <c r="O183" s="58" t="s">
        <v>54</v>
      </c>
    </row>
    <row r="184" spans="1:15" s="22" customFormat="1" ht="26.25">
      <c r="A184" s="32">
        <f>SUBTOTAL(103,$B$2:B184)*1</f>
        <v>183</v>
      </c>
      <c r="B184" s="28" t="s">
        <v>330</v>
      </c>
      <c r="C184" s="51" t="s">
        <v>336</v>
      </c>
      <c r="D184" s="32"/>
      <c r="E184" s="35"/>
      <c r="F184" s="32">
        <v>0.5</v>
      </c>
      <c r="G184" s="50">
        <v>0.4</v>
      </c>
      <c r="H184" s="32" t="s">
        <v>332</v>
      </c>
      <c r="I184" s="38" t="str">
        <f t="shared" si="7"/>
        <v>Pass</v>
      </c>
      <c r="J184" s="39" t="s">
        <v>247</v>
      </c>
      <c r="K184" s="40"/>
      <c r="L184" s="52"/>
      <c r="M184" s="52"/>
      <c r="N184" s="53" t="s">
        <v>333</v>
      </c>
      <c r="O184" s="58" t="s">
        <v>54</v>
      </c>
    </row>
    <row r="185" spans="1:15" s="22" customFormat="1" ht="26.25">
      <c r="A185" s="32">
        <f>SUBTOTAL(103,$B$2:B185)*1</f>
        <v>184</v>
      </c>
      <c r="B185" s="28" t="s">
        <v>330</v>
      </c>
      <c r="C185" s="51" t="s">
        <v>337</v>
      </c>
      <c r="D185" s="32"/>
      <c r="E185" s="35"/>
      <c r="F185" s="32">
        <v>0.5</v>
      </c>
      <c r="G185" s="50">
        <v>0.3</v>
      </c>
      <c r="H185" s="32" t="s">
        <v>332</v>
      </c>
      <c r="I185" s="38" t="str">
        <f t="shared" si="7"/>
        <v>Pass</v>
      </c>
      <c r="J185" s="39" t="s">
        <v>247</v>
      </c>
      <c r="K185" s="40"/>
      <c r="L185" s="52"/>
      <c r="M185" s="52"/>
      <c r="N185" s="53" t="s">
        <v>333</v>
      </c>
      <c r="O185" s="58" t="s">
        <v>54</v>
      </c>
    </row>
    <row r="186" spans="1:15" s="22" customFormat="1" ht="26.25">
      <c r="A186" s="32">
        <f>SUBTOTAL(103,$B$2:B186)*1</f>
        <v>185</v>
      </c>
      <c r="B186" s="28" t="s">
        <v>330</v>
      </c>
      <c r="C186" s="51" t="s">
        <v>338</v>
      </c>
      <c r="D186" s="32"/>
      <c r="E186" s="35"/>
      <c r="F186" s="32">
        <v>1</v>
      </c>
      <c r="G186" s="50">
        <v>0.3</v>
      </c>
      <c r="H186" s="32" t="s">
        <v>332</v>
      </c>
      <c r="I186" s="38" t="str">
        <f t="shared" si="7"/>
        <v>Pass</v>
      </c>
      <c r="J186" s="39" t="s">
        <v>247</v>
      </c>
      <c r="K186" s="40"/>
      <c r="L186" s="52"/>
      <c r="M186" s="52"/>
      <c r="N186" s="53" t="s">
        <v>333</v>
      </c>
      <c r="O186" s="58" t="s">
        <v>54</v>
      </c>
    </row>
    <row r="187" spans="1:15" s="22" customFormat="1" ht="26.25">
      <c r="A187" s="32">
        <f>SUBTOTAL(103,$B$2:B187)*1</f>
        <v>186</v>
      </c>
      <c r="B187" s="28" t="s">
        <v>330</v>
      </c>
      <c r="C187" s="51" t="s">
        <v>339</v>
      </c>
      <c r="D187" s="32"/>
      <c r="E187" s="35"/>
      <c r="F187" s="32">
        <v>0.5</v>
      </c>
      <c r="G187" s="50">
        <v>0.1</v>
      </c>
      <c r="H187" s="32" t="s">
        <v>332</v>
      </c>
      <c r="I187" s="38" t="str">
        <f t="shared" si="7"/>
        <v>Pass</v>
      </c>
      <c r="J187" s="39" t="s">
        <v>247</v>
      </c>
      <c r="K187" s="40"/>
      <c r="L187" s="52"/>
      <c r="M187" s="52"/>
      <c r="N187" s="53" t="s">
        <v>333</v>
      </c>
      <c r="O187" s="58" t="s">
        <v>54</v>
      </c>
    </row>
    <row r="188" spans="1:15" s="22" customFormat="1" ht="26.25">
      <c r="A188" s="32">
        <f>SUBTOTAL(103,$B$2:B188)*1</f>
        <v>187</v>
      </c>
      <c r="B188" s="28" t="s">
        <v>330</v>
      </c>
      <c r="C188" s="51" t="s">
        <v>340</v>
      </c>
      <c r="D188" s="32"/>
      <c r="E188" s="35"/>
      <c r="F188" s="32">
        <v>0.5</v>
      </c>
      <c r="G188" s="50">
        <v>0.3</v>
      </c>
      <c r="H188" s="32" t="s">
        <v>332</v>
      </c>
      <c r="I188" s="38" t="str">
        <f t="shared" si="7"/>
        <v>Pass</v>
      </c>
      <c r="J188" s="39" t="s">
        <v>247</v>
      </c>
      <c r="K188" s="40"/>
      <c r="L188" s="52"/>
      <c r="M188" s="52"/>
      <c r="N188" s="53" t="s">
        <v>333</v>
      </c>
      <c r="O188" s="58" t="s">
        <v>54</v>
      </c>
    </row>
    <row r="189" spans="1:15" s="22" customFormat="1" ht="26.25">
      <c r="A189" s="32">
        <f>SUBTOTAL(103,$B$2:B189)*1</f>
        <v>188</v>
      </c>
      <c r="B189" s="23" t="s">
        <v>341</v>
      </c>
      <c r="C189" s="51" t="s">
        <v>342</v>
      </c>
      <c r="D189" s="32"/>
      <c r="E189" s="35" t="s">
        <v>16</v>
      </c>
      <c r="F189" s="32"/>
      <c r="G189" s="81" t="s">
        <v>343</v>
      </c>
      <c r="H189" s="32" t="s">
        <v>16</v>
      </c>
      <c r="I189" s="38" t="str">
        <f>IF(G189="","Fail","Pass")</f>
        <v>Pass</v>
      </c>
      <c r="J189" s="39" t="s">
        <v>247</v>
      </c>
      <c r="K189" s="40"/>
      <c r="L189" s="52"/>
      <c r="M189" s="52"/>
      <c r="N189" s="84" t="s">
        <v>344</v>
      </c>
      <c r="O189" s="85" t="s">
        <v>345</v>
      </c>
    </row>
    <row r="190" spans="1:15" s="22" customFormat="1" ht="26.25">
      <c r="A190" s="32">
        <f>SUBTOTAL(103,$B$2:B190)*1</f>
        <v>189</v>
      </c>
      <c r="B190" s="23" t="s">
        <v>341</v>
      </c>
      <c r="C190" s="51" t="s">
        <v>342</v>
      </c>
      <c r="D190" s="32"/>
      <c r="E190" s="35" t="s">
        <v>16</v>
      </c>
      <c r="F190" s="32"/>
      <c r="G190" s="81" t="s">
        <v>346</v>
      </c>
      <c r="H190" s="32" t="s">
        <v>16</v>
      </c>
      <c r="I190" s="38" t="str">
        <f>IF(G190="","Fail","Pass")</f>
        <v>Pass</v>
      </c>
      <c r="J190" s="39" t="s">
        <v>247</v>
      </c>
      <c r="K190" s="40"/>
      <c r="L190" s="52"/>
      <c r="M190" s="52"/>
      <c r="N190" s="84" t="s">
        <v>344</v>
      </c>
      <c r="O190" s="85" t="s">
        <v>345</v>
      </c>
    </row>
    <row r="191" spans="1:15" s="22" customFormat="1" ht="26.25">
      <c r="A191" s="32">
        <f>SUBTOTAL(103,$B$2:B191)*1</f>
        <v>190</v>
      </c>
      <c r="B191" s="28" t="s">
        <v>347</v>
      </c>
      <c r="C191" s="83" t="s">
        <v>348</v>
      </c>
      <c r="D191" s="32"/>
      <c r="E191" s="35" t="s">
        <v>48</v>
      </c>
      <c r="F191" s="32"/>
      <c r="G191" s="37" t="s">
        <v>48</v>
      </c>
      <c r="H191" s="32" t="s">
        <v>16</v>
      </c>
      <c r="I191" s="38" t="str">
        <f t="shared" ref="I191:I200" si="8">IF(G191="","",IF(G191=E191,"Pass","Fail"))</f>
        <v>Pass</v>
      </c>
      <c r="J191" s="39" t="s">
        <v>247</v>
      </c>
      <c r="K191" s="40"/>
      <c r="L191" s="52"/>
      <c r="M191" s="52"/>
      <c r="N191" s="53"/>
      <c r="O191" s="43"/>
    </row>
    <row r="192" spans="1:15" s="22" customFormat="1" ht="26.25">
      <c r="A192" s="32">
        <f>SUBTOTAL(103,$B$2:B192)*1</f>
        <v>191</v>
      </c>
      <c r="B192" s="23" t="s">
        <v>46</v>
      </c>
      <c r="C192" s="23" t="s">
        <v>349</v>
      </c>
      <c r="D192" s="32"/>
      <c r="E192" s="35" t="s">
        <v>48</v>
      </c>
      <c r="F192" s="32"/>
      <c r="G192" s="37" t="s">
        <v>48</v>
      </c>
      <c r="H192" s="32" t="s">
        <v>16</v>
      </c>
      <c r="I192" s="38" t="str">
        <f t="shared" si="8"/>
        <v>Pass</v>
      </c>
      <c r="J192" s="39" t="s">
        <v>247</v>
      </c>
      <c r="K192" s="40"/>
      <c r="L192" s="52"/>
      <c r="M192" s="52"/>
      <c r="N192" s="46" t="s">
        <v>350</v>
      </c>
      <c r="O192" s="58" t="s">
        <v>54</v>
      </c>
    </row>
    <row r="193" spans="1:15" s="22" customFormat="1" ht="26.25">
      <c r="A193" s="32">
        <f>SUBTOTAL(103,$B$2:B193)*1</f>
        <v>192</v>
      </c>
      <c r="B193" s="23" t="s">
        <v>46</v>
      </c>
      <c r="C193" s="23" t="s">
        <v>351</v>
      </c>
      <c r="D193" s="32"/>
      <c r="E193" s="35" t="s">
        <v>48</v>
      </c>
      <c r="F193" s="32"/>
      <c r="G193" s="37" t="s">
        <v>48</v>
      </c>
      <c r="H193" s="32" t="s">
        <v>16</v>
      </c>
      <c r="I193" s="38" t="str">
        <f t="shared" si="8"/>
        <v>Pass</v>
      </c>
      <c r="J193" s="39" t="s">
        <v>247</v>
      </c>
      <c r="K193" s="40"/>
      <c r="L193" s="52"/>
      <c r="M193" s="52"/>
      <c r="N193" s="46" t="s">
        <v>350</v>
      </c>
      <c r="O193" s="58" t="s">
        <v>54</v>
      </c>
    </row>
    <row r="194" spans="1:15" s="22" customFormat="1" ht="26.25">
      <c r="A194" s="32">
        <f>SUBTOTAL(103,$B$2:B194)*1</f>
        <v>193</v>
      </c>
      <c r="B194" s="23" t="s">
        <v>46</v>
      </c>
      <c r="C194" s="23" t="s">
        <v>352</v>
      </c>
      <c r="D194" s="32"/>
      <c r="E194" s="35" t="s">
        <v>48</v>
      </c>
      <c r="F194" s="32"/>
      <c r="G194" s="37" t="s">
        <v>48</v>
      </c>
      <c r="H194" s="32" t="s">
        <v>16</v>
      </c>
      <c r="I194" s="38" t="str">
        <f t="shared" si="8"/>
        <v>Pass</v>
      </c>
      <c r="J194" s="39" t="s">
        <v>247</v>
      </c>
      <c r="K194" s="40"/>
      <c r="L194" s="52"/>
      <c r="M194" s="52"/>
      <c r="N194" s="46" t="s">
        <v>353</v>
      </c>
      <c r="O194" s="58" t="s">
        <v>54</v>
      </c>
    </row>
    <row r="195" spans="1:15" s="22" customFormat="1" ht="26.25">
      <c r="A195" s="32">
        <f>SUBTOTAL(103,$B$2:B195)*1</f>
        <v>194</v>
      </c>
      <c r="B195" s="23" t="s">
        <v>46</v>
      </c>
      <c r="C195" s="23" t="s">
        <v>354</v>
      </c>
      <c r="D195" s="32"/>
      <c r="E195" s="35" t="s">
        <v>48</v>
      </c>
      <c r="F195" s="32"/>
      <c r="G195" s="37" t="s">
        <v>48</v>
      </c>
      <c r="H195" s="32" t="s">
        <v>16</v>
      </c>
      <c r="I195" s="38" t="str">
        <f t="shared" si="8"/>
        <v>Pass</v>
      </c>
      <c r="J195" s="39" t="s">
        <v>247</v>
      </c>
      <c r="K195" s="40"/>
      <c r="L195" s="52"/>
      <c r="M195" s="52"/>
      <c r="N195" s="46" t="s">
        <v>353</v>
      </c>
      <c r="O195" s="58" t="s">
        <v>54</v>
      </c>
    </row>
    <row r="196" spans="1:15" s="22" customFormat="1" ht="26.25">
      <c r="A196" s="32">
        <f>SUBTOTAL(103,$B$2:B196)*1</f>
        <v>195</v>
      </c>
      <c r="B196" s="23" t="s">
        <v>46</v>
      </c>
      <c r="C196" s="23" t="s">
        <v>355</v>
      </c>
      <c r="D196" s="32"/>
      <c r="E196" s="35" t="s">
        <v>48</v>
      </c>
      <c r="F196" s="32"/>
      <c r="G196" s="37" t="s">
        <v>48</v>
      </c>
      <c r="H196" s="32" t="s">
        <v>16</v>
      </c>
      <c r="I196" s="38" t="str">
        <f t="shared" si="8"/>
        <v>Pass</v>
      </c>
      <c r="J196" s="39" t="s">
        <v>247</v>
      </c>
      <c r="K196" s="40"/>
      <c r="L196" s="52"/>
      <c r="M196" s="52"/>
      <c r="N196" s="46" t="s">
        <v>350</v>
      </c>
      <c r="O196" s="58" t="s">
        <v>54</v>
      </c>
    </row>
    <row r="197" spans="1:15" s="22" customFormat="1" ht="26.25">
      <c r="A197" s="32">
        <f>SUBTOTAL(103,$B$2:B197)*1</f>
        <v>196</v>
      </c>
      <c r="B197" s="23" t="s">
        <v>46</v>
      </c>
      <c r="C197" s="54" t="s">
        <v>356</v>
      </c>
      <c r="D197" s="32"/>
      <c r="E197" s="35" t="s">
        <v>357</v>
      </c>
      <c r="F197" s="32"/>
      <c r="G197" s="37" t="s">
        <v>357</v>
      </c>
      <c r="H197" s="32" t="s">
        <v>267</v>
      </c>
      <c r="I197" s="38" t="str">
        <f t="shared" si="8"/>
        <v>Pass</v>
      </c>
      <c r="J197" s="39" t="s">
        <v>247</v>
      </c>
      <c r="K197" s="40"/>
      <c r="L197" s="52"/>
      <c r="M197" s="52"/>
      <c r="N197" s="53"/>
      <c r="O197" s="58" t="s">
        <v>54</v>
      </c>
    </row>
    <row r="198" spans="1:15" s="22" customFormat="1" ht="26.25">
      <c r="A198" s="32">
        <f>SUBTOTAL(103,$B$2:B198)*1</f>
        <v>197</v>
      </c>
      <c r="B198" s="23" t="s">
        <v>46</v>
      </c>
      <c r="C198" s="23" t="s">
        <v>358</v>
      </c>
      <c r="D198" s="32"/>
      <c r="E198" s="35" t="s">
        <v>359</v>
      </c>
      <c r="F198" s="32"/>
      <c r="G198" s="37" t="s">
        <v>359</v>
      </c>
      <c r="H198" s="32" t="s">
        <v>16</v>
      </c>
      <c r="I198" s="38" t="str">
        <f t="shared" si="8"/>
        <v>Pass</v>
      </c>
      <c r="J198" s="39" t="s">
        <v>247</v>
      </c>
      <c r="K198" s="40"/>
      <c r="L198" s="52"/>
      <c r="M198" s="52"/>
      <c r="N198" s="53"/>
      <c r="O198" s="58" t="s">
        <v>54</v>
      </c>
    </row>
    <row r="199" spans="1:15" s="22" customFormat="1" ht="26.25">
      <c r="A199" s="32">
        <f>SUBTOTAL(103,$B$2:B199)*1</f>
        <v>198</v>
      </c>
      <c r="B199" s="28" t="s">
        <v>46</v>
      </c>
      <c r="C199" s="54" t="s">
        <v>360</v>
      </c>
      <c r="D199" s="32"/>
      <c r="E199" s="35" t="s">
        <v>361</v>
      </c>
      <c r="F199" s="32"/>
      <c r="G199" s="37" t="s">
        <v>361</v>
      </c>
      <c r="H199" s="32" t="s">
        <v>267</v>
      </c>
      <c r="I199" s="38" t="str">
        <f t="shared" si="8"/>
        <v>Pass</v>
      </c>
      <c r="J199" s="39" t="s">
        <v>247</v>
      </c>
      <c r="K199" s="40"/>
      <c r="L199" s="52"/>
      <c r="M199" s="52"/>
      <c r="N199" s="53" t="s">
        <v>362</v>
      </c>
      <c r="O199" s="58" t="s">
        <v>54</v>
      </c>
    </row>
    <row r="200" spans="1:15" s="22" customFormat="1" ht="26.25">
      <c r="A200" s="32">
        <f>SUBTOTAL(103,$B$2:B200)*1</f>
        <v>199</v>
      </c>
      <c r="B200" s="23" t="s">
        <v>46</v>
      </c>
      <c r="C200" s="23" t="s">
        <v>363</v>
      </c>
      <c r="D200" s="32"/>
      <c r="E200" s="35">
        <v>0.7</v>
      </c>
      <c r="F200" s="32"/>
      <c r="G200" s="37">
        <v>0.7</v>
      </c>
      <c r="H200" s="32" t="s">
        <v>16</v>
      </c>
      <c r="I200" s="38" t="str">
        <f t="shared" si="8"/>
        <v>Pass</v>
      </c>
      <c r="J200" s="39" t="s">
        <v>247</v>
      </c>
      <c r="K200" s="40"/>
      <c r="L200" s="52"/>
      <c r="M200" s="52"/>
      <c r="N200" s="53"/>
      <c r="O200" s="58" t="s">
        <v>54</v>
      </c>
    </row>
    <row r="201" spans="1:15" s="22" customFormat="1" ht="26.25">
      <c r="A201" s="32">
        <f>SUBTOTAL(103,$B$2:B201)*1</f>
        <v>200</v>
      </c>
      <c r="B201" s="23" t="s">
        <v>46</v>
      </c>
      <c r="C201" s="54" t="s">
        <v>364</v>
      </c>
      <c r="D201" s="32"/>
      <c r="E201" s="35" t="s">
        <v>365</v>
      </c>
      <c r="F201" s="32"/>
      <c r="G201" s="37" t="s">
        <v>365</v>
      </c>
      <c r="H201" s="32" t="s">
        <v>267</v>
      </c>
      <c r="I201" s="38" t="s">
        <v>19</v>
      </c>
      <c r="J201" s="39" t="s">
        <v>247</v>
      </c>
      <c r="K201" s="40"/>
      <c r="L201" s="52"/>
      <c r="M201" s="52"/>
      <c r="N201" s="46" t="s">
        <v>366</v>
      </c>
      <c r="O201" s="58" t="s">
        <v>54</v>
      </c>
    </row>
    <row r="202" spans="1:15" s="22" customFormat="1" ht="26.25">
      <c r="A202" s="32">
        <f>SUBTOTAL(103,$B$2:B202)*1</f>
        <v>201</v>
      </c>
      <c r="B202" s="23" t="s">
        <v>46</v>
      </c>
      <c r="C202" s="54" t="s">
        <v>367</v>
      </c>
      <c r="D202" s="32"/>
      <c r="E202" s="35" t="s">
        <v>365</v>
      </c>
      <c r="F202" s="32"/>
      <c r="G202" s="37" t="s">
        <v>365</v>
      </c>
      <c r="H202" s="32" t="s">
        <v>267</v>
      </c>
      <c r="I202" s="38" t="s">
        <v>19</v>
      </c>
      <c r="J202" s="39" t="s">
        <v>247</v>
      </c>
      <c r="K202" s="40"/>
      <c r="L202" s="52"/>
      <c r="M202" s="52"/>
      <c r="N202" s="46" t="s">
        <v>366</v>
      </c>
      <c r="O202" s="58" t="s">
        <v>54</v>
      </c>
    </row>
    <row r="203" spans="1:15" s="22" customFormat="1" ht="26.25">
      <c r="A203" s="32">
        <f>SUBTOTAL(103,$B$2:B203)*1</f>
        <v>202</v>
      </c>
      <c r="B203" s="23" t="s">
        <v>46</v>
      </c>
      <c r="C203" s="54" t="s">
        <v>368</v>
      </c>
      <c r="D203" s="32"/>
      <c r="E203" s="35" t="s">
        <v>369</v>
      </c>
      <c r="F203" s="32"/>
      <c r="G203" s="37" t="s">
        <v>369</v>
      </c>
      <c r="H203" s="32" t="s">
        <v>267</v>
      </c>
      <c r="I203" s="38" t="str">
        <f t="shared" ref="I203:I209" si="9">IF(G203="","",IF(G203=E203,"Pass","Fail"))</f>
        <v>Pass</v>
      </c>
      <c r="J203" s="39" t="s">
        <v>247</v>
      </c>
      <c r="K203" s="40"/>
      <c r="L203" s="52"/>
      <c r="M203" s="52"/>
      <c r="N203" s="53"/>
      <c r="O203" s="58" t="s">
        <v>54</v>
      </c>
    </row>
    <row r="204" spans="1:15" s="22" customFormat="1" ht="26.25">
      <c r="A204" s="32">
        <f>SUBTOTAL(103,$B$2:B204)*1</f>
        <v>203</v>
      </c>
      <c r="B204" s="23" t="s">
        <v>46</v>
      </c>
      <c r="C204" s="54" t="s">
        <v>370</v>
      </c>
      <c r="D204" s="32"/>
      <c r="E204" s="35" t="s">
        <v>371</v>
      </c>
      <c r="F204" s="32"/>
      <c r="G204" s="37" t="s">
        <v>371</v>
      </c>
      <c r="H204" s="32" t="s">
        <v>267</v>
      </c>
      <c r="I204" s="38" t="str">
        <f t="shared" si="9"/>
        <v>Pass</v>
      </c>
      <c r="J204" s="39" t="s">
        <v>247</v>
      </c>
      <c r="K204" s="40"/>
      <c r="L204" s="52"/>
      <c r="M204" s="52"/>
      <c r="N204" s="53"/>
      <c r="O204" s="58" t="s">
        <v>54</v>
      </c>
    </row>
    <row r="205" spans="1:15" s="22" customFormat="1" ht="26.25">
      <c r="A205" s="32">
        <f>SUBTOTAL(103,$B$2:B205)*1</f>
        <v>204</v>
      </c>
      <c r="B205" s="23" t="s">
        <v>46</v>
      </c>
      <c r="C205" s="23" t="s">
        <v>372</v>
      </c>
      <c r="D205" s="36"/>
      <c r="E205" s="36">
        <v>1.3</v>
      </c>
      <c r="F205" s="32"/>
      <c r="G205" s="45">
        <v>1.3</v>
      </c>
      <c r="H205" s="32" t="s">
        <v>267</v>
      </c>
      <c r="I205" s="38" t="str">
        <f t="shared" si="9"/>
        <v>Pass</v>
      </c>
      <c r="J205" s="39" t="s">
        <v>247</v>
      </c>
      <c r="K205" s="40"/>
      <c r="L205" s="52"/>
      <c r="M205" s="52"/>
      <c r="N205" s="76"/>
      <c r="O205" s="58" t="s">
        <v>54</v>
      </c>
    </row>
    <row r="206" spans="1:15" s="22" customFormat="1" ht="26.25">
      <c r="A206" s="32">
        <f>SUBTOTAL(103,$B$2:B206)*1</f>
        <v>205</v>
      </c>
      <c r="B206" s="23" t="s">
        <v>46</v>
      </c>
      <c r="C206" s="51" t="s">
        <v>373</v>
      </c>
      <c r="D206" s="32"/>
      <c r="E206" s="35">
        <v>0.5</v>
      </c>
      <c r="F206" s="32"/>
      <c r="G206" s="37">
        <v>0.5</v>
      </c>
      <c r="H206" s="32" t="s">
        <v>60</v>
      </c>
      <c r="I206" s="38" t="str">
        <f t="shared" si="9"/>
        <v>Pass</v>
      </c>
      <c r="J206" s="39" t="s">
        <v>247</v>
      </c>
      <c r="K206" s="40"/>
      <c r="L206" s="52"/>
      <c r="M206" s="52"/>
      <c r="N206" s="46" t="s">
        <v>374</v>
      </c>
      <c r="O206" s="58" t="s">
        <v>54</v>
      </c>
    </row>
    <row r="207" spans="1:15" s="22" customFormat="1" ht="26.25">
      <c r="A207" s="32">
        <f>SUBTOTAL(103,$B$2:B207)*1</f>
        <v>206</v>
      </c>
      <c r="B207" s="23" t="s">
        <v>46</v>
      </c>
      <c r="C207" s="51" t="s">
        <v>375</v>
      </c>
      <c r="D207" s="32"/>
      <c r="E207" s="35">
        <v>6</v>
      </c>
      <c r="F207" s="32"/>
      <c r="G207" s="37">
        <v>6</v>
      </c>
      <c r="H207" s="32" t="s">
        <v>60</v>
      </c>
      <c r="I207" s="38" t="str">
        <f t="shared" si="9"/>
        <v>Pass</v>
      </c>
      <c r="J207" s="39" t="s">
        <v>247</v>
      </c>
      <c r="K207" s="40"/>
      <c r="L207" s="52"/>
      <c r="M207" s="52"/>
      <c r="N207" s="46" t="s">
        <v>376</v>
      </c>
      <c r="O207" s="58" t="s">
        <v>54</v>
      </c>
    </row>
    <row r="208" spans="1:15" s="22" customFormat="1" ht="26.25">
      <c r="A208" s="32">
        <f>SUBTOTAL(103,$B$2:B208)*1</f>
        <v>207</v>
      </c>
      <c r="B208" s="23" t="s">
        <v>46</v>
      </c>
      <c r="C208" s="51" t="s">
        <v>377</v>
      </c>
      <c r="D208" s="32"/>
      <c r="E208" s="35">
        <v>0.15</v>
      </c>
      <c r="F208" s="32"/>
      <c r="G208" s="37">
        <v>0.15</v>
      </c>
      <c r="H208" s="32" t="s">
        <v>16</v>
      </c>
      <c r="I208" s="38" t="str">
        <f t="shared" si="9"/>
        <v>Pass</v>
      </c>
      <c r="J208" s="39" t="s">
        <v>247</v>
      </c>
      <c r="K208" s="40"/>
      <c r="L208" s="52"/>
      <c r="M208" s="52"/>
      <c r="N208" s="46" t="s">
        <v>378</v>
      </c>
      <c r="O208" s="58" t="s">
        <v>54</v>
      </c>
    </row>
    <row r="209" spans="1:15" s="22" customFormat="1" ht="26.25">
      <c r="A209" s="32">
        <f>SUBTOTAL(103,$B$2:B209)*1</f>
        <v>208</v>
      </c>
      <c r="B209" s="23" t="s">
        <v>46</v>
      </c>
      <c r="C209" s="51" t="s">
        <v>379</v>
      </c>
      <c r="D209" s="32"/>
      <c r="E209" s="35">
        <v>1</v>
      </c>
      <c r="F209" s="32"/>
      <c r="G209" s="37">
        <v>1</v>
      </c>
      <c r="H209" s="32" t="s">
        <v>16</v>
      </c>
      <c r="I209" s="38" t="str">
        <f t="shared" si="9"/>
        <v>Pass</v>
      </c>
      <c r="J209" s="39" t="s">
        <v>247</v>
      </c>
      <c r="K209" s="40"/>
      <c r="L209" s="52"/>
      <c r="M209" s="52"/>
      <c r="N209" s="46" t="s">
        <v>380</v>
      </c>
      <c r="O209" s="58" t="s">
        <v>54</v>
      </c>
    </row>
    <row r="210" spans="1:15" s="22" customFormat="1" ht="26.25">
      <c r="A210" s="32">
        <f>SUBTOTAL(103,$B$2:B210)*1</f>
        <v>209</v>
      </c>
      <c r="B210" s="23" t="s">
        <v>49</v>
      </c>
      <c r="C210" s="54" t="s">
        <v>381</v>
      </c>
      <c r="D210" s="32"/>
      <c r="E210" s="35">
        <v>6</v>
      </c>
      <c r="F210" s="32"/>
      <c r="G210" s="37">
        <v>6</v>
      </c>
      <c r="H210" s="32" t="s">
        <v>382</v>
      </c>
      <c r="I210" s="38" t="str">
        <f>IF(G210="","",IF(G210=E210,"Pass",""))</f>
        <v>Pass</v>
      </c>
      <c r="J210" s="39" t="s">
        <v>247</v>
      </c>
      <c r="K210" s="40"/>
      <c r="L210" s="52"/>
      <c r="M210" s="52"/>
      <c r="N210" s="46"/>
      <c r="O210" s="58" t="s">
        <v>54</v>
      </c>
    </row>
    <row r="211" spans="1:15" s="22" customFormat="1" ht="23.25">
      <c r="A211" s="32">
        <f>SUBTOTAL(103,$B$2:B211)*1</f>
        <v>210</v>
      </c>
      <c r="B211" s="23" t="s">
        <v>49</v>
      </c>
      <c r="C211" s="54" t="s">
        <v>383</v>
      </c>
      <c r="D211" s="32"/>
      <c r="E211" s="35"/>
      <c r="F211" s="32"/>
      <c r="G211" s="37">
        <v>16.600000000000001</v>
      </c>
      <c r="H211" s="32" t="s">
        <v>384</v>
      </c>
      <c r="I211" s="38" t="s">
        <v>19</v>
      </c>
      <c r="J211" s="39" t="s">
        <v>247</v>
      </c>
      <c r="K211" s="40" t="s">
        <v>22</v>
      </c>
      <c r="L211" s="41"/>
      <c r="M211" s="41"/>
      <c r="N211" s="46" t="s">
        <v>385</v>
      </c>
      <c r="O211" s="43"/>
    </row>
    <row r="212" spans="1:15" s="22" customFormat="1" ht="26.25">
      <c r="A212" s="32">
        <f>SUBTOTAL(103,$B$2:B212)*1</f>
        <v>211</v>
      </c>
      <c r="B212" s="23" t="s">
        <v>386</v>
      </c>
      <c r="C212" s="23" t="s">
        <v>387</v>
      </c>
      <c r="D212" s="32"/>
      <c r="E212" s="35" t="s">
        <v>388</v>
      </c>
      <c r="F212" s="32"/>
      <c r="G212" s="37" t="s">
        <v>388</v>
      </c>
      <c r="H212" s="32" t="s">
        <v>16</v>
      </c>
      <c r="I212" s="38" t="str">
        <f>IF(G212="","",IF(G212=E212,"Pass","Fail"))</f>
        <v>Pass</v>
      </c>
      <c r="J212" s="39" t="s">
        <v>247</v>
      </c>
      <c r="K212" s="40"/>
      <c r="L212" s="52"/>
      <c r="M212" s="52"/>
      <c r="N212" s="76"/>
      <c r="O212" s="58" t="s">
        <v>54</v>
      </c>
    </row>
    <row r="213" spans="1:15" s="22" customFormat="1" ht="26.25">
      <c r="A213" s="32">
        <f>SUBTOTAL(103,$B$2:B213)*1</f>
        <v>212</v>
      </c>
      <c r="B213" s="23" t="s">
        <v>386</v>
      </c>
      <c r="C213" s="23" t="s">
        <v>389</v>
      </c>
      <c r="D213" s="32"/>
      <c r="E213" s="35" t="s">
        <v>390</v>
      </c>
      <c r="F213" s="32"/>
      <c r="G213" s="86" t="s">
        <v>390</v>
      </c>
      <c r="H213" s="32" t="s">
        <v>267</v>
      </c>
      <c r="I213" s="38" t="str">
        <f>IF(G213="","",IF(G213=E213,"Pass","Fail"))</f>
        <v>Pass</v>
      </c>
      <c r="J213" s="39" t="s">
        <v>247</v>
      </c>
      <c r="K213" s="40"/>
      <c r="L213" s="52"/>
      <c r="M213" s="52"/>
      <c r="N213" s="53"/>
      <c r="O213" s="58" t="s">
        <v>54</v>
      </c>
    </row>
    <row r="214" spans="1:15" s="22" customFormat="1" ht="26.25">
      <c r="A214" s="32">
        <f>SUBTOTAL(103,$B$2:B214)*1</f>
        <v>213</v>
      </c>
      <c r="B214" s="23" t="s">
        <v>386</v>
      </c>
      <c r="C214" s="23" t="s">
        <v>391</v>
      </c>
      <c r="D214" s="32"/>
      <c r="E214" s="35" t="s">
        <v>392</v>
      </c>
      <c r="F214" s="32"/>
      <c r="G214" s="37" t="s">
        <v>392</v>
      </c>
      <c r="H214" s="32" t="s">
        <v>267</v>
      </c>
      <c r="I214" s="38" t="str">
        <f>IF(G214="","",IF(G214=E214,"Pass","Fail"))</f>
        <v>Pass</v>
      </c>
      <c r="J214" s="39" t="s">
        <v>247</v>
      </c>
      <c r="K214" s="40"/>
      <c r="L214" s="52"/>
      <c r="M214" s="52"/>
      <c r="N214" s="53"/>
      <c r="O214" s="58" t="s">
        <v>54</v>
      </c>
    </row>
    <row r="215" spans="1:15" s="22" customFormat="1" ht="26.25">
      <c r="A215" s="32">
        <f>SUBTOTAL(103,$B$2:B215)*1</f>
        <v>214</v>
      </c>
      <c r="B215" s="23" t="s">
        <v>386</v>
      </c>
      <c r="C215" s="23" t="s">
        <v>393</v>
      </c>
      <c r="D215" s="32"/>
      <c r="E215" s="35">
        <v>230</v>
      </c>
      <c r="F215" s="32"/>
      <c r="G215" s="37">
        <v>230</v>
      </c>
      <c r="H215" s="32" t="s">
        <v>394</v>
      </c>
      <c r="I215" s="38" t="str">
        <f>IF(G215="","",IF(G215=E215,"Pass","Fail"))</f>
        <v>Pass</v>
      </c>
      <c r="J215" s="39" t="s">
        <v>247</v>
      </c>
      <c r="K215" s="40"/>
      <c r="L215" s="52"/>
      <c r="M215" s="52"/>
      <c r="N215" s="53"/>
      <c r="O215" s="58" t="s">
        <v>54</v>
      </c>
    </row>
    <row r="216" spans="1:15" s="22" customFormat="1" ht="26.25">
      <c r="A216" s="32">
        <f>SUBTOTAL(103,$B$2:B216)*1</f>
        <v>215</v>
      </c>
      <c r="B216" s="23" t="s">
        <v>58</v>
      </c>
      <c r="C216" s="23" t="s">
        <v>395</v>
      </c>
      <c r="D216" s="32"/>
      <c r="E216" s="35" t="s">
        <v>48</v>
      </c>
      <c r="F216" s="32"/>
      <c r="G216" s="37" t="s">
        <v>48</v>
      </c>
      <c r="H216" s="32" t="s">
        <v>16</v>
      </c>
      <c r="I216" s="38" t="str">
        <f>IF(G216="","",IF(G216=E216,"Pass","Fail"))</f>
        <v>Pass</v>
      </c>
      <c r="J216" s="39" t="s">
        <v>247</v>
      </c>
      <c r="K216" s="40"/>
      <c r="L216" s="52"/>
      <c r="M216" s="52"/>
      <c r="N216" s="53"/>
      <c r="O216" s="58" t="s">
        <v>54</v>
      </c>
    </row>
    <row r="217" spans="1:15" s="22" customFormat="1" ht="26.25">
      <c r="A217" s="32">
        <f>SUBTOTAL(103,$B$2:B217)*1</f>
        <v>216</v>
      </c>
      <c r="B217" s="23" t="s">
        <v>58</v>
      </c>
      <c r="C217" s="23" t="s">
        <v>396</v>
      </c>
      <c r="D217" s="32"/>
      <c r="E217" s="35"/>
      <c r="F217" s="32">
        <v>200</v>
      </c>
      <c r="G217" s="37">
        <v>25.7</v>
      </c>
      <c r="H217" s="32" t="s">
        <v>18</v>
      </c>
      <c r="I217" s="38" t="str">
        <f>IF(G217="","",IF(G217&lt;=F217,"Pass","Fail"))</f>
        <v>Pass</v>
      </c>
      <c r="J217" s="39" t="s">
        <v>247</v>
      </c>
      <c r="K217" s="40"/>
      <c r="L217" s="52"/>
      <c r="M217" s="52"/>
      <c r="N217" s="53"/>
      <c r="O217" s="58" t="s">
        <v>54</v>
      </c>
    </row>
    <row r="218" spans="1:15" s="22" customFormat="1" ht="26.25">
      <c r="A218" s="32">
        <f>SUBTOTAL(103,$B$2:B218)*1</f>
        <v>217</v>
      </c>
      <c r="B218" s="23" t="s">
        <v>58</v>
      </c>
      <c r="C218" s="23" t="s">
        <v>397</v>
      </c>
      <c r="D218" s="32"/>
      <c r="E218" s="35" t="s">
        <v>398</v>
      </c>
      <c r="F218" s="32"/>
      <c r="G218" s="45" t="s">
        <v>398</v>
      </c>
      <c r="H218" s="32" t="s">
        <v>16</v>
      </c>
      <c r="I218" s="38" t="str">
        <f>IF(G218="","",IF(G218=E218,"Pass","Fail"))</f>
        <v>Pass</v>
      </c>
      <c r="J218" s="39" t="s">
        <v>247</v>
      </c>
      <c r="K218" s="40"/>
      <c r="L218" s="52"/>
      <c r="M218" s="52"/>
      <c r="N218" s="53"/>
      <c r="O218" s="58" t="s">
        <v>54</v>
      </c>
    </row>
    <row r="219" spans="1:15" s="22" customFormat="1" ht="26.25">
      <c r="A219" s="32">
        <f>SUBTOTAL(103,$B$2:B219)*1</f>
        <v>218</v>
      </c>
      <c r="B219" s="23" t="s">
        <v>58</v>
      </c>
      <c r="C219" s="23" t="s">
        <v>399</v>
      </c>
      <c r="D219" s="32"/>
      <c r="E219" s="35" t="s">
        <v>400</v>
      </c>
      <c r="F219" s="32"/>
      <c r="G219" s="45" t="s">
        <v>400</v>
      </c>
      <c r="H219" s="32" t="s">
        <v>16</v>
      </c>
      <c r="I219" s="38" t="str">
        <f>IF(G219="","",IF(G219=E219,"Pass","Fail"))</f>
        <v>Pass</v>
      </c>
      <c r="J219" s="39" t="s">
        <v>247</v>
      </c>
      <c r="K219" s="40"/>
      <c r="L219" s="52"/>
      <c r="M219" s="52"/>
      <c r="N219" s="53"/>
      <c r="O219" s="58" t="s">
        <v>54</v>
      </c>
    </row>
    <row r="220" spans="1:15" s="22" customFormat="1" ht="26.25">
      <c r="A220" s="32">
        <f>SUBTOTAL(103,$B$2:B220)*1</f>
        <v>219</v>
      </c>
      <c r="B220" s="23" t="s">
        <v>58</v>
      </c>
      <c r="C220" s="23" t="s">
        <v>401</v>
      </c>
      <c r="D220" s="32"/>
      <c r="E220" s="35">
        <v>1</v>
      </c>
      <c r="F220" s="32"/>
      <c r="G220" s="87">
        <v>1</v>
      </c>
      <c r="H220" s="32" t="s">
        <v>16</v>
      </c>
      <c r="I220" s="38" t="s">
        <v>19</v>
      </c>
      <c r="J220" s="39" t="s">
        <v>247</v>
      </c>
      <c r="K220" s="40"/>
      <c r="L220" s="41"/>
      <c r="M220" s="41"/>
      <c r="N220" s="46" t="s">
        <v>402</v>
      </c>
      <c r="O220" s="58" t="s">
        <v>54</v>
      </c>
    </row>
    <row r="221" spans="1:15" s="22" customFormat="1" ht="26.25">
      <c r="A221" s="32">
        <f>SUBTOTAL(103,$B$2:B221)*1</f>
        <v>220</v>
      </c>
      <c r="B221" s="23" t="s">
        <v>58</v>
      </c>
      <c r="C221" s="23" t="s">
        <v>403</v>
      </c>
      <c r="D221" s="32"/>
      <c r="E221" s="35">
        <v>1</v>
      </c>
      <c r="F221" s="32"/>
      <c r="G221" s="87">
        <v>1</v>
      </c>
      <c r="H221" s="32" t="s">
        <v>16</v>
      </c>
      <c r="I221" s="38" t="s">
        <v>19</v>
      </c>
      <c r="J221" s="39" t="s">
        <v>247</v>
      </c>
      <c r="K221" s="40"/>
      <c r="L221" s="41"/>
      <c r="M221" s="41"/>
      <c r="N221" s="46" t="s">
        <v>404</v>
      </c>
      <c r="O221" s="58" t="s">
        <v>54</v>
      </c>
    </row>
    <row r="222" spans="1:15" s="22" customFormat="1" ht="26.25">
      <c r="A222" s="32">
        <f>SUBTOTAL(103,$B$2:B222)*1</f>
        <v>221</v>
      </c>
      <c r="B222" s="23" t="s">
        <v>58</v>
      </c>
      <c r="C222" s="23" t="s">
        <v>405</v>
      </c>
      <c r="D222" s="32"/>
      <c r="E222" s="35" t="s">
        <v>100</v>
      </c>
      <c r="F222" s="32"/>
      <c r="G222" s="50" t="s">
        <v>100</v>
      </c>
      <c r="H222" s="32" t="s">
        <v>16</v>
      </c>
      <c r="I222" s="38" t="s">
        <v>19</v>
      </c>
      <c r="J222" s="39" t="s">
        <v>247</v>
      </c>
      <c r="K222" s="40"/>
      <c r="L222" s="46"/>
      <c r="M222" s="46"/>
      <c r="N222" s="88" t="s">
        <v>406</v>
      </c>
      <c r="O222" s="58" t="s">
        <v>54</v>
      </c>
    </row>
    <row r="223" spans="1:15" s="22" customFormat="1" ht="26.25">
      <c r="A223" s="32">
        <f>SUBTOTAL(103,$B$2:B223)*1</f>
        <v>222</v>
      </c>
      <c r="B223" s="23" t="s">
        <v>93</v>
      </c>
      <c r="C223" s="23" t="s">
        <v>407</v>
      </c>
      <c r="D223" s="32"/>
      <c r="E223" s="35" t="s">
        <v>48</v>
      </c>
      <c r="F223" s="32"/>
      <c r="G223" s="37" t="s">
        <v>48</v>
      </c>
      <c r="H223" s="32" t="s">
        <v>16</v>
      </c>
      <c r="I223" s="38" t="str">
        <f t="shared" ref="I223:I229" si="10">IF(G223="","",IF(G223=E223,"Pass","Fail"))</f>
        <v>Pass</v>
      </c>
      <c r="J223" s="39" t="s">
        <v>247</v>
      </c>
      <c r="K223" s="40"/>
      <c r="L223" s="52"/>
      <c r="M223" s="52"/>
      <c r="N223" s="46" t="s">
        <v>408</v>
      </c>
      <c r="O223" s="58" t="s">
        <v>54</v>
      </c>
    </row>
    <row r="224" spans="1:15" s="22" customFormat="1" ht="26.25">
      <c r="A224" s="32">
        <f>SUBTOTAL(103,$B$2:B224)*1</f>
        <v>223</v>
      </c>
      <c r="B224" s="23" t="s">
        <v>93</v>
      </c>
      <c r="C224" s="23" t="s">
        <v>409</v>
      </c>
      <c r="D224" s="32"/>
      <c r="E224" s="35" t="s">
        <v>100</v>
      </c>
      <c r="F224" s="32"/>
      <c r="G224" s="37" t="s">
        <v>100</v>
      </c>
      <c r="H224" s="32" t="s">
        <v>16</v>
      </c>
      <c r="I224" s="38" t="str">
        <f t="shared" si="10"/>
        <v>Pass</v>
      </c>
      <c r="J224" s="39" t="s">
        <v>247</v>
      </c>
      <c r="K224" s="40"/>
      <c r="L224" s="52"/>
      <c r="M224" s="52"/>
      <c r="N224" s="46" t="s">
        <v>410</v>
      </c>
      <c r="O224" s="58" t="s">
        <v>54</v>
      </c>
    </row>
    <row r="225" spans="1:15" s="22" customFormat="1" ht="26.25">
      <c r="A225" s="32">
        <f>SUBTOTAL(103,$B$2:B225)*1</f>
        <v>224</v>
      </c>
      <c r="B225" s="23" t="s">
        <v>93</v>
      </c>
      <c r="C225" s="23" t="s">
        <v>411</v>
      </c>
      <c r="D225" s="32"/>
      <c r="E225" s="35" t="s">
        <v>48</v>
      </c>
      <c r="F225" s="32"/>
      <c r="G225" s="37" t="s">
        <v>48</v>
      </c>
      <c r="H225" s="32" t="s">
        <v>16</v>
      </c>
      <c r="I225" s="38" t="str">
        <f t="shared" si="10"/>
        <v>Pass</v>
      </c>
      <c r="J225" s="39" t="s">
        <v>247</v>
      </c>
      <c r="K225" s="40"/>
      <c r="L225" s="52"/>
      <c r="M225" s="52"/>
      <c r="N225" s="46"/>
      <c r="O225" s="58" t="s">
        <v>54</v>
      </c>
    </row>
    <row r="226" spans="1:15" s="22" customFormat="1" ht="26.25">
      <c r="A226" s="32">
        <f>SUBTOTAL(103,$B$2:B226)*1</f>
        <v>225</v>
      </c>
      <c r="B226" s="23" t="s">
        <v>93</v>
      </c>
      <c r="C226" s="23" t="s">
        <v>412</v>
      </c>
      <c r="D226" s="32"/>
      <c r="E226" s="35" t="s">
        <v>48</v>
      </c>
      <c r="F226" s="32"/>
      <c r="G226" s="37" t="s">
        <v>48</v>
      </c>
      <c r="H226" s="32" t="s">
        <v>16</v>
      </c>
      <c r="I226" s="38" t="str">
        <f t="shared" si="10"/>
        <v>Pass</v>
      </c>
      <c r="J226" s="39" t="s">
        <v>247</v>
      </c>
      <c r="K226" s="40"/>
      <c r="L226" s="52"/>
      <c r="M226" s="52"/>
      <c r="N226" s="46"/>
      <c r="O226" s="58" t="s">
        <v>54</v>
      </c>
    </row>
    <row r="227" spans="1:15" s="22" customFormat="1" ht="26.25">
      <c r="A227" s="32">
        <f>SUBTOTAL(103,$B$2:B227)*1</f>
        <v>226</v>
      </c>
      <c r="B227" s="23" t="s">
        <v>93</v>
      </c>
      <c r="C227" s="23" t="s">
        <v>413</v>
      </c>
      <c r="D227" s="32"/>
      <c r="E227" s="35" t="s">
        <v>414</v>
      </c>
      <c r="F227" s="32"/>
      <c r="G227" s="37" t="s">
        <v>414</v>
      </c>
      <c r="H227" s="32" t="s">
        <v>16</v>
      </c>
      <c r="I227" s="38" t="str">
        <f t="shared" si="10"/>
        <v>Pass</v>
      </c>
      <c r="J227" s="39" t="s">
        <v>247</v>
      </c>
      <c r="K227" s="40"/>
      <c r="L227" s="52"/>
      <c r="M227" s="52"/>
      <c r="N227" s="46" t="s">
        <v>415</v>
      </c>
      <c r="O227" s="58" t="s">
        <v>54</v>
      </c>
    </row>
    <row r="228" spans="1:15" s="22" customFormat="1" ht="26.25">
      <c r="A228" s="32">
        <f>SUBTOTAL(103,$B$2:B228)*1</f>
        <v>227</v>
      </c>
      <c r="B228" s="23" t="s">
        <v>93</v>
      </c>
      <c r="C228" s="23" t="s">
        <v>416</v>
      </c>
      <c r="D228" s="32"/>
      <c r="E228" s="35" t="s">
        <v>48</v>
      </c>
      <c r="F228" s="32"/>
      <c r="G228" s="37" t="s">
        <v>48</v>
      </c>
      <c r="H228" s="32" t="s">
        <v>16</v>
      </c>
      <c r="I228" s="38" t="str">
        <f t="shared" si="10"/>
        <v>Pass</v>
      </c>
      <c r="J228" s="39" t="s">
        <v>247</v>
      </c>
      <c r="K228" s="40"/>
      <c r="L228" s="52"/>
      <c r="M228" s="52"/>
      <c r="N228" s="46"/>
      <c r="O228" s="58" t="s">
        <v>54</v>
      </c>
    </row>
    <row r="229" spans="1:15" s="22" customFormat="1" ht="26.25">
      <c r="A229" s="32">
        <f>SUBTOTAL(103,$B$2:B229)*1</f>
        <v>228</v>
      </c>
      <c r="B229" s="23" t="s">
        <v>93</v>
      </c>
      <c r="C229" s="23" t="s">
        <v>417</v>
      </c>
      <c r="D229" s="32"/>
      <c r="E229" s="35" t="s">
        <v>48</v>
      </c>
      <c r="F229" s="32"/>
      <c r="G229" s="37" t="s">
        <v>48</v>
      </c>
      <c r="H229" s="32" t="s">
        <v>16</v>
      </c>
      <c r="I229" s="38" t="str">
        <f t="shared" si="10"/>
        <v>Pass</v>
      </c>
      <c r="J229" s="39" t="s">
        <v>247</v>
      </c>
      <c r="K229" s="40"/>
      <c r="L229" s="52"/>
      <c r="M229" s="52"/>
      <c r="N229" s="46"/>
      <c r="O229" s="58" t="s">
        <v>54</v>
      </c>
    </row>
    <row r="230" spans="1:15" s="22" customFormat="1" ht="26.25">
      <c r="A230" s="32">
        <f>SUBTOTAL(103,$B$2:B230)*1</f>
        <v>229</v>
      </c>
      <c r="B230" s="23" t="s">
        <v>93</v>
      </c>
      <c r="C230" s="23" t="s">
        <v>418</v>
      </c>
      <c r="D230" s="32"/>
      <c r="E230" s="35" t="s">
        <v>419</v>
      </c>
      <c r="F230" s="32"/>
      <c r="G230" s="37">
        <v>1624.75</v>
      </c>
      <c r="H230" s="32" t="s">
        <v>83</v>
      </c>
      <c r="I230" s="38" t="s">
        <v>19</v>
      </c>
      <c r="J230" s="39" t="s">
        <v>247</v>
      </c>
      <c r="K230" s="40"/>
      <c r="L230" s="52"/>
      <c r="M230" s="52"/>
      <c r="N230" s="46" t="s">
        <v>420</v>
      </c>
      <c r="O230" s="58" t="s">
        <v>54</v>
      </c>
    </row>
    <row r="231" spans="1:15" s="22" customFormat="1" ht="26.25">
      <c r="A231" s="32">
        <f>SUBTOTAL(103,$B$2:B231)*1</f>
        <v>230</v>
      </c>
      <c r="B231" s="23" t="s">
        <v>93</v>
      </c>
      <c r="C231" s="23" t="s">
        <v>421</v>
      </c>
      <c r="D231" s="32"/>
      <c r="E231" s="35" t="s">
        <v>422</v>
      </c>
      <c r="F231" s="32"/>
      <c r="G231" s="37" t="s">
        <v>422</v>
      </c>
      <c r="H231" s="32" t="s">
        <v>16</v>
      </c>
      <c r="I231" s="38" t="str">
        <f t="shared" ref="I231:I247" si="11">IF(G231="","",IF(G231=E231,"Pass","Fail"))</f>
        <v>Pass</v>
      </c>
      <c r="J231" s="39" t="s">
        <v>247</v>
      </c>
      <c r="K231" s="40"/>
      <c r="L231" s="52"/>
      <c r="M231" s="52"/>
      <c r="N231" s="46" t="s">
        <v>423</v>
      </c>
      <c r="O231" s="58" t="s">
        <v>54</v>
      </c>
    </row>
    <row r="232" spans="1:15" s="22" customFormat="1" ht="26.25">
      <c r="A232" s="32">
        <f>SUBTOTAL(103,$B$2:B232)*1</f>
        <v>231</v>
      </c>
      <c r="B232" s="23" t="s">
        <v>93</v>
      </c>
      <c r="C232" s="23" t="s">
        <v>424</v>
      </c>
      <c r="D232" s="32"/>
      <c r="E232" s="35">
        <v>9000</v>
      </c>
      <c r="F232" s="32"/>
      <c r="G232" s="37">
        <v>9000</v>
      </c>
      <c r="H232" s="32" t="s">
        <v>83</v>
      </c>
      <c r="I232" s="38" t="str">
        <f t="shared" si="11"/>
        <v>Pass</v>
      </c>
      <c r="J232" s="39" t="s">
        <v>247</v>
      </c>
      <c r="K232" s="40"/>
      <c r="L232" s="52"/>
      <c r="M232" s="52"/>
      <c r="N232" s="46"/>
      <c r="O232" s="58" t="s">
        <v>54</v>
      </c>
    </row>
    <row r="233" spans="1:15" s="22" customFormat="1" ht="26.25">
      <c r="A233" s="32">
        <f>SUBTOTAL(103,$B$2:B233)*1</f>
        <v>232</v>
      </c>
      <c r="B233" s="23" t="s">
        <v>93</v>
      </c>
      <c r="C233" s="23" t="s">
        <v>425</v>
      </c>
      <c r="D233" s="32"/>
      <c r="E233" s="35">
        <v>400</v>
      </c>
      <c r="F233" s="32"/>
      <c r="G233" s="37">
        <v>400</v>
      </c>
      <c r="H233" s="32" t="s">
        <v>83</v>
      </c>
      <c r="I233" s="38" t="str">
        <f t="shared" si="11"/>
        <v>Pass</v>
      </c>
      <c r="J233" s="39" t="s">
        <v>247</v>
      </c>
      <c r="K233" s="40"/>
      <c r="L233" s="52"/>
      <c r="M233" s="52"/>
      <c r="N233" s="46"/>
      <c r="O233" s="58" t="s">
        <v>54</v>
      </c>
    </row>
    <row r="234" spans="1:15" s="22" customFormat="1" ht="26.25">
      <c r="A234" s="32">
        <f>SUBTOTAL(103,$B$2:B234)*1</f>
        <v>233</v>
      </c>
      <c r="B234" s="23" t="s">
        <v>93</v>
      </c>
      <c r="C234" s="23" t="s">
        <v>426</v>
      </c>
      <c r="D234" s="32"/>
      <c r="E234" s="35">
        <v>150</v>
      </c>
      <c r="F234" s="32"/>
      <c r="G234" s="37">
        <v>150</v>
      </c>
      <c r="H234" s="32" t="s">
        <v>427</v>
      </c>
      <c r="I234" s="38" t="str">
        <f t="shared" si="11"/>
        <v>Pass</v>
      </c>
      <c r="J234" s="39" t="s">
        <v>247</v>
      </c>
      <c r="K234" s="40"/>
      <c r="L234" s="52"/>
      <c r="M234" s="52"/>
      <c r="N234" s="46"/>
      <c r="O234" s="58" t="s">
        <v>54</v>
      </c>
    </row>
    <row r="235" spans="1:15" s="22" customFormat="1" ht="26.25">
      <c r="A235" s="32">
        <f>SUBTOTAL(103,$B$2:B235)*1</f>
        <v>234</v>
      </c>
      <c r="B235" s="23" t="s">
        <v>93</v>
      </c>
      <c r="C235" s="23" t="s">
        <v>428</v>
      </c>
      <c r="D235" s="32"/>
      <c r="E235" s="35">
        <v>50</v>
      </c>
      <c r="F235" s="32"/>
      <c r="G235" s="37">
        <v>50</v>
      </c>
      <c r="H235" s="32" t="s">
        <v>83</v>
      </c>
      <c r="I235" s="38" t="str">
        <f t="shared" si="11"/>
        <v>Pass</v>
      </c>
      <c r="J235" s="39" t="s">
        <v>247</v>
      </c>
      <c r="K235" s="40"/>
      <c r="L235" s="52"/>
      <c r="M235" s="52"/>
      <c r="N235" s="46"/>
      <c r="O235" s="58" t="s">
        <v>54</v>
      </c>
    </row>
    <row r="236" spans="1:15" s="22" customFormat="1" ht="26.25">
      <c r="A236" s="32">
        <f>SUBTOTAL(103,$B$2:B236)*1</f>
        <v>235</v>
      </c>
      <c r="B236" s="23" t="s">
        <v>93</v>
      </c>
      <c r="C236" s="23" t="s">
        <v>429</v>
      </c>
      <c r="D236" s="32"/>
      <c r="E236" s="35">
        <v>30</v>
      </c>
      <c r="F236" s="32"/>
      <c r="G236" s="37">
        <v>30</v>
      </c>
      <c r="H236" s="32" t="s">
        <v>427</v>
      </c>
      <c r="I236" s="38" t="str">
        <f t="shared" si="11"/>
        <v>Pass</v>
      </c>
      <c r="J236" s="39" t="s">
        <v>247</v>
      </c>
      <c r="K236" s="40"/>
      <c r="L236" s="52"/>
      <c r="M236" s="52"/>
      <c r="N236" s="46"/>
      <c r="O236" s="58" t="s">
        <v>54</v>
      </c>
    </row>
    <row r="237" spans="1:15" s="22" customFormat="1" ht="26.25">
      <c r="A237" s="32">
        <f>SUBTOTAL(103,$B$2:B237)*1</f>
        <v>236</v>
      </c>
      <c r="B237" s="23" t="s">
        <v>93</v>
      </c>
      <c r="C237" s="23" t="s">
        <v>430</v>
      </c>
      <c r="D237" s="32"/>
      <c r="E237" s="35">
        <v>1</v>
      </c>
      <c r="F237" s="32"/>
      <c r="G237" s="37">
        <v>1</v>
      </c>
      <c r="H237" s="32" t="s">
        <v>16</v>
      </c>
      <c r="I237" s="38" t="str">
        <f t="shared" si="11"/>
        <v>Pass</v>
      </c>
      <c r="J237" s="39" t="s">
        <v>247</v>
      </c>
      <c r="K237" s="40"/>
      <c r="L237" s="52"/>
      <c r="M237" s="52"/>
      <c r="N237" s="46" t="s">
        <v>431</v>
      </c>
      <c r="O237" s="58" t="s">
        <v>54</v>
      </c>
    </row>
    <row r="238" spans="1:15" s="22" customFormat="1" ht="26.25">
      <c r="A238" s="32">
        <f>SUBTOTAL(103,$B$2:B238)*1</f>
        <v>237</v>
      </c>
      <c r="B238" s="23" t="s">
        <v>93</v>
      </c>
      <c r="C238" s="23" t="s">
        <v>432</v>
      </c>
      <c r="D238" s="32"/>
      <c r="E238" s="35">
        <v>0.05</v>
      </c>
      <c r="F238" s="32"/>
      <c r="G238" s="37">
        <v>0.05</v>
      </c>
      <c r="H238" s="32" t="s">
        <v>83</v>
      </c>
      <c r="I238" s="38" t="str">
        <f t="shared" si="11"/>
        <v>Pass</v>
      </c>
      <c r="J238" s="39" t="s">
        <v>247</v>
      </c>
      <c r="K238" s="40"/>
      <c r="L238" s="52"/>
      <c r="M238" s="52"/>
      <c r="N238" s="46" t="s">
        <v>433</v>
      </c>
      <c r="O238" s="58" t="s">
        <v>54</v>
      </c>
    </row>
    <row r="239" spans="1:15" s="22" customFormat="1" ht="26.25">
      <c r="A239" s="32">
        <f>SUBTOTAL(103,$B$2:B239)*1</f>
        <v>238</v>
      </c>
      <c r="B239" s="23" t="s">
        <v>93</v>
      </c>
      <c r="C239" s="23" t="s">
        <v>434</v>
      </c>
      <c r="D239" s="32"/>
      <c r="E239" s="35">
        <v>0</v>
      </c>
      <c r="F239" s="32"/>
      <c r="G239" s="37">
        <v>0</v>
      </c>
      <c r="H239" s="32" t="s">
        <v>16</v>
      </c>
      <c r="I239" s="38" t="str">
        <f t="shared" si="11"/>
        <v>Pass</v>
      </c>
      <c r="J239" s="39" t="s">
        <v>247</v>
      </c>
      <c r="K239" s="40"/>
      <c r="L239" s="52"/>
      <c r="M239" s="52"/>
      <c r="N239" s="46"/>
      <c r="O239" s="58" t="s">
        <v>54</v>
      </c>
    </row>
    <row r="240" spans="1:15" s="22" customFormat="1" ht="26.25">
      <c r="A240" s="32">
        <f>SUBTOTAL(103,$B$2:B240)*1</f>
        <v>239</v>
      </c>
      <c r="B240" s="23" t="s">
        <v>435</v>
      </c>
      <c r="C240" s="23" t="s">
        <v>436</v>
      </c>
      <c r="D240" s="32"/>
      <c r="E240" s="35" t="s">
        <v>48</v>
      </c>
      <c r="F240" s="32"/>
      <c r="G240" s="37" t="s">
        <v>48</v>
      </c>
      <c r="H240" s="32" t="s">
        <v>16</v>
      </c>
      <c r="I240" s="38" t="str">
        <f t="shared" si="11"/>
        <v>Pass</v>
      </c>
      <c r="J240" s="39" t="s">
        <v>247</v>
      </c>
      <c r="K240" s="40"/>
      <c r="L240" s="52"/>
      <c r="M240" s="52"/>
      <c r="N240" s="46"/>
      <c r="O240" s="58" t="s">
        <v>54</v>
      </c>
    </row>
    <row r="241" spans="1:15" s="22" customFormat="1" ht="26.25">
      <c r="A241" s="32">
        <f>SUBTOTAL(103,$B$2:B241)*1</f>
        <v>240</v>
      </c>
      <c r="B241" s="23" t="s">
        <v>435</v>
      </c>
      <c r="C241" s="23" t="s">
        <v>437</v>
      </c>
      <c r="D241" s="32"/>
      <c r="E241" s="35" t="s">
        <v>438</v>
      </c>
      <c r="F241" s="32"/>
      <c r="G241" s="37" t="s">
        <v>438</v>
      </c>
      <c r="H241" s="32" t="s">
        <v>267</v>
      </c>
      <c r="I241" s="38" t="str">
        <f t="shared" si="11"/>
        <v>Pass</v>
      </c>
      <c r="J241" s="39" t="s">
        <v>247</v>
      </c>
      <c r="K241" s="40"/>
      <c r="L241" s="52"/>
      <c r="M241" s="52"/>
      <c r="N241" s="46"/>
      <c r="O241" s="58" t="s">
        <v>54</v>
      </c>
    </row>
    <row r="242" spans="1:15" s="22" customFormat="1" ht="23.25">
      <c r="A242" s="32">
        <f>SUBTOTAL(103,$B$2:B242)*1</f>
        <v>241</v>
      </c>
      <c r="B242" s="23" t="s">
        <v>98</v>
      </c>
      <c r="C242" s="33" t="s">
        <v>439</v>
      </c>
      <c r="D242" s="32"/>
      <c r="E242" s="35" t="s">
        <v>48</v>
      </c>
      <c r="F242" s="32"/>
      <c r="G242" s="37" t="s">
        <v>48</v>
      </c>
      <c r="H242" s="32" t="s">
        <v>16</v>
      </c>
      <c r="I242" s="38" t="str">
        <f t="shared" si="11"/>
        <v>Pass</v>
      </c>
      <c r="J242" s="39" t="s">
        <v>247</v>
      </c>
      <c r="K242" s="40"/>
      <c r="L242" s="52"/>
      <c r="M242" s="52"/>
      <c r="N242" s="46"/>
      <c r="O242" s="43"/>
    </row>
    <row r="243" spans="1:15" s="22" customFormat="1" ht="26.25">
      <c r="A243" s="32">
        <f>SUBTOTAL(103,$B$2:B243)*1</f>
        <v>242</v>
      </c>
      <c r="B243" s="23" t="s">
        <v>98</v>
      </c>
      <c r="C243" s="33" t="s">
        <v>440</v>
      </c>
      <c r="D243" s="32"/>
      <c r="E243" s="35" t="s">
        <v>48</v>
      </c>
      <c r="F243" s="32"/>
      <c r="G243" s="37" t="s">
        <v>48</v>
      </c>
      <c r="H243" s="32" t="s">
        <v>16</v>
      </c>
      <c r="I243" s="38" t="str">
        <f t="shared" si="11"/>
        <v>Pass</v>
      </c>
      <c r="J243" s="39" t="s">
        <v>247</v>
      </c>
      <c r="K243" s="40"/>
      <c r="L243" s="52"/>
      <c r="M243" s="52"/>
      <c r="N243" s="46" t="s">
        <v>441</v>
      </c>
      <c r="O243" s="58" t="s">
        <v>54</v>
      </c>
    </row>
    <row r="244" spans="1:15" s="22" customFormat="1" ht="26.25">
      <c r="A244" s="32">
        <f>SUBTOTAL(103,$B$2:B244)*1</f>
        <v>243</v>
      </c>
      <c r="B244" s="23" t="s">
        <v>98</v>
      </c>
      <c r="C244" s="33" t="s">
        <v>442</v>
      </c>
      <c r="D244" s="32"/>
      <c r="E244" s="35" t="s">
        <v>443</v>
      </c>
      <c r="F244" s="32"/>
      <c r="G244" s="37" t="s">
        <v>443</v>
      </c>
      <c r="H244" s="32" t="s">
        <v>16</v>
      </c>
      <c r="I244" s="38" t="str">
        <f t="shared" si="11"/>
        <v>Pass</v>
      </c>
      <c r="J244" s="39" t="s">
        <v>247</v>
      </c>
      <c r="K244" s="40"/>
      <c r="L244" s="52"/>
      <c r="M244" s="52"/>
      <c r="N244" s="46" t="s">
        <v>444</v>
      </c>
      <c r="O244" s="58" t="s">
        <v>54</v>
      </c>
    </row>
    <row r="245" spans="1:15" s="22" customFormat="1" ht="26.25">
      <c r="A245" s="32">
        <f>SUBTOTAL(103,$B$2:B245)*1</f>
        <v>244</v>
      </c>
      <c r="B245" s="23" t="s">
        <v>98</v>
      </c>
      <c r="C245" s="33" t="s">
        <v>445</v>
      </c>
      <c r="D245" s="32"/>
      <c r="E245" s="35" t="s">
        <v>446</v>
      </c>
      <c r="F245" s="32"/>
      <c r="G245" s="37" t="s">
        <v>446</v>
      </c>
      <c r="H245" s="32" t="s">
        <v>16</v>
      </c>
      <c r="I245" s="38" t="str">
        <f t="shared" si="11"/>
        <v>Pass</v>
      </c>
      <c r="J245" s="39" t="s">
        <v>247</v>
      </c>
      <c r="K245" s="40"/>
      <c r="L245" s="52"/>
      <c r="M245" s="52"/>
      <c r="N245" s="46"/>
      <c r="O245" s="58" t="s">
        <v>54</v>
      </c>
    </row>
    <row r="246" spans="1:15" s="22" customFormat="1" ht="26.25">
      <c r="A246" s="32">
        <f>SUBTOTAL(103,$B$2:B246)*1</f>
        <v>245</v>
      </c>
      <c r="B246" s="23" t="s">
        <v>98</v>
      </c>
      <c r="C246" s="23" t="s">
        <v>447</v>
      </c>
      <c r="D246" s="32"/>
      <c r="E246" s="35" t="s">
        <v>448</v>
      </c>
      <c r="F246" s="32"/>
      <c r="G246" s="37" t="s">
        <v>448</v>
      </c>
      <c r="H246" s="32" t="s">
        <v>16</v>
      </c>
      <c r="I246" s="38" t="str">
        <f t="shared" si="11"/>
        <v>Pass</v>
      </c>
      <c r="J246" s="39" t="s">
        <v>247</v>
      </c>
      <c r="K246" s="40"/>
      <c r="L246" s="52"/>
      <c r="M246" s="52"/>
      <c r="N246" s="46"/>
      <c r="O246" s="58" t="s">
        <v>54</v>
      </c>
    </row>
    <row r="247" spans="1:15" s="22" customFormat="1" ht="23.25">
      <c r="A247" s="32">
        <f>SUBTOTAL(103,$B$2:B247)*1</f>
        <v>246</v>
      </c>
      <c r="B247" s="23" t="s">
        <v>449</v>
      </c>
      <c r="C247" s="33" t="s">
        <v>450</v>
      </c>
      <c r="D247" s="32"/>
      <c r="E247" s="35" t="s">
        <v>48</v>
      </c>
      <c r="F247" s="32"/>
      <c r="G247" s="37" t="s">
        <v>48</v>
      </c>
      <c r="H247" s="32" t="s">
        <v>16</v>
      </c>
      <c r="I247" s="38" t="str">
        <f t="shared" si="11"/>
        <v>Pass</v>
      </c>
      <c r="J247" s="39" t="s">
        <v>247</v>
      </c>
      <c r="K247" s="40"/>
      <c r="L247" s="52"/>
      <c r="M247" s="52"/>
      <c r="N247" s="46"/>
      <c r="O247" s="43"/>
    </row>
    <row r="248" spans="1:15" s="22" customFormat="1" ht="26.25">
      <c r="A248" s="32">
        <f>SUBTOTAL(103,$B$2:B248)*1</f>
        <v>247</v>
      </c>
      <c r="B248" s="23" t="s">
        <v>102</v>
      </c>
      <c r="C248" s="54" t="s">
        <v>451</v>
      </c>
      <c r="D248" s="34"/>
      <c r="E248" s="35" t="s">
        <v>48</v>
      </c>
      <c r="F248" s="32"/>
      <c r="G248" s="37" t="s">
        <v>48</v>
      </c>
      <c r="H248" s="32" t="s">
        <v>16</v>
      </c>
      <c r="I248" s="38" t="str">
        <f>IF(G248="","",IF(G248=E248,"Pass",""))</f>
        <v>Pass</v>
      </c>
      <c r="J248" s="39" t="s">
        <v>247</v>
      </c>
      <c r="K248" s="40"/>
      <c r="L248" s="52"/>
      <c r="M248" s="52"/>
      <c r="N248" s="46" t="s">
        <v>452</v>
      </c>
      <c r="O248" s="58" t="s">
        <v>54</v>
      </c>
    </row>
    <row r="249" spans="1:15" s="22" customFormat="1" ht="26.25">
      <c r="A249" s="32">
        <f>SUBTOTAL(103,$B$2:B249)*1</f>
        <v>248</v>
      </c>
      <c r="B249" s="23" t="s">
        <v>102</v>
      </c>
      <c r="C249" s="54" t="s">
        <v>453</v>
      </c>
      <c r="D249" s="34"/>
      <c r="E249" s="35" t="s">
        <v>48</v>
      </c>
      <c r="F249" s="32"/>
      <c r="G249" s="37" t="s">
        <v>48</v>
      </c>
      <c r="H249" s="32" t="s">
        <v>16</v>
      </c>
      <c r="I249" s="38" t="str">
        <f>IF(G249="","",IF(G249=E249,"Pass",""))</f>
        <v>Pass</v>
      </c>
      <c r="J249" s="39" t="s">
        <v>247</v>
      </c>
      <c r="K249" s="40"/>
      <c r="L249" s="52"/>
      <c r="M249" s="52"/>
      <c r="N249" s="46" t="s">
        <v>454</v>
      </c>
      <c r="O249" s="58" t="s">
        <v>54</v>
      </c>
    </row>
    <row r="250" spans="1:15" s="22" customFormat="1" ht="26.25">
      <c r="A250" s="32">
        <f>SUBTOTAL(103,$B$2:B250)*1</f>
        <v>249</v>
      </c>
      <c r="B250" s="23" t="s">
        <v>102</v>
      </c>
      <c r="C250" s="23" t="s">
        <v>455</v>
      </c>
      <c r="D250" s="32"/>
      <c r="E250" s="35" t="s">
        <v>48</v>
      </c>
      <c r="F250" s="32"/>
      <c r="G250" s="37" t="s">
        <v>48</v>
      </c>
      <c r="H250" s="32" t="s">
        <v>16</v>
      </c>
      <c r="I250" s="38" t="str">
        <f t="shared" ref="I250:I257" si="12">IF(G250="","",IF(G250=E250,"Pass","Fail"))</f>
        <v>Pass</v>
      </c>
      <c r="J250" s="39" t="s">
        <v>247</v>
      </c>
      <c r="K250" s="40"/>
      <c r="L250" s="52"/>
      <c r="M250" s="52"/>
      <c r="N250" s="23" t="s">
        <v>456</v>
      </c>
      <c r="O250" s="58" t="s">
        <v>54</v>
      </c>
    </row>
    <row r="251" spans="1:15" s="22" customFormat="1" ht="26.25">
      <c r="A251" s="32">
        <f>SUBTOTAL(103,$B$2:B251)*1</f>
        <v>250</v>
      </c>
      <c r="B251" s="23" t="s">
        <v>102</v>
      </c>
      <c r="C251" s="23" t="s">
        <v>457</v>
      </c>
      <c r="D251" s="32"/>
      <c r="E251" s="35" t="s">
        <v>48</v>
      </c>
      <c r="F251" s="32"/>
      <c r="G251" s="37" t="s">
        <v>48</v>
      </c>
      <c r="H251" s="32" t="s">
        <v>16</v>
      </c>
      <c r="I251" s="38" t="str">
        <f t="shared" si="12"/>
        <v>Pass</v>
      </c>
      <c r="J251" s="39" t="s">
        <v>247</v>
      </c>
      <c r="K251" s="40"/>
      <c r="L251" s="52"/>
      <c r="M251" s="52"/>
      <c r="N251" s="53"/>
      <c r="O251" s="58" t="s">
        <v>54</v>
      </c>
    </row>
    <row r="252" spans="1:15" s="22" customFormat="1" ht="26.25">
      <c r="A252" s="32">
        <f>SUBTOTAL(103,$B$2:B252)*1</f>
        <v>251</v>
      </c>
      <c r="B252" s="23" t="s">
        <v>102</v>
      </c>
      <c r="C252" s="23" t="s">
        <v>458</v>
      </c>
      <c r="D252" s="32"/>
      <c r="E252" s="35" t="s">
        <v>48</v>
      </c>
      <c r="F252" s="32"/>
      <c r="G252" s="37" t="s">
        <v>48</v>
      </c>
      <c r="H252" s="32" t="s">
        <v>16</v>
      </c>
      <c r="I252" s="38" t="str">
        <f t="shared" si="12"/>
        <v>Pass</v>
      </c>
      <c r="J252" s="39" t="s">
        <v>247</v>
      </c>
      <c r="K252" s="40"/>
      <c r="L252" s="52"/>
      <c r="M252" s="52"/>
      <c r="N252" s="53"/>
      <c r="O252" s="58" t="s">
        <v>54</v>
      </c>
    </row>
    <row r="253" spans="1:15" s="22" customFormat="1" ht="26.25">
      <c r="A253" s="32">
        <f>SUBTOTAL(103,$B$2:B253)*1</f>
        <v>252</v>
      </c>
      <c r="B253" s="23" t="s">
        <v>102</v>
      </c>
      <c r="C253" s="23" t="s">
        <v>459</v>
      </c>
      <c r="D253" s="32"/>
      <c r="E253" s="35" t="s">
        <v>48</v>
      </c>
      <c r="F253" s="32"/>
      <c r="G253" s="37" t="s">
        <v>48</v>
      </c>
      <c r="H253" s="32" t="s">
        <v>16</v>
      </c>
      <c r="I253" s="38" t="str">
        <f t="shared" si="12"/>
        <v>Pass</v>
      </c>
      <c r="J253" s="39" t="s">
        <v>247</v>
      </c>
      <c r="K253" s="40"/>
      <c r="L253" s="52"/>
      <c r="M253" s="52"/>
      <c r="N253" s="53"/>
      <c r="O253" s="58" t="s">
        <v>54</v>
      </c>
    </row>
    <row r="254" spans="1:15" s="22" customFormat="1" ht="26.25">
      <c r="A254" s="32">
        <f>SUBTOTAL(103,$B$2:B254)*1</f>
        <v>253</v>
      </c>
      <c r="B254" s="23" t="s">
        <v>102</v>
      </c>
      <c r="C254" s="51" t="s">
        <v>460</v>
      </c>
      <c r="D254" s="32"/>
      <c r="E254" s="35" t="s">
        <v>48</v>
      </c>
      <c r="F254" s="32"/>
      <c r="G254" s="37" t="s">
        <v>48</v>
      </c>
      <c r="H254" s="32" t="s">
        <v>16</v>
      </c>
      <c r="I254" s="38" t="str">
        <f t="shared" si="12"/>
        <v>Pass</v>
      </c>
      <c r="J254" s="39" t="s">
        <v>247</v>
      </c>
      <c r="K254" s="40"/>
      <c r="L254" s="52"/>
      <c r="M254" s="52"/>
      <c r="N254" s="53"/>
      <c r="O254" s="58" t="s">
        <v>54</v>
      </c>
    </row>
    <row r="255" spans="1:15" s="22" customFormat="1" ht="26.25">
      <c r="A255" s="32">
        <f>SUBTOTAL(103,$B$2:B255)*1</f>
        <v>254</v>
      </c>
      <c r="B255" s="23" t="s">
        <v>102</v>
      </c>
      <c r="C255" s="51" t="s">
        <v>461</v>
      </c>
      <c r="D255" s="32"/>
      <c r="E255" s="35" t="s">
        <v>462</v>
      </c>
      <c r="F255" s="32"/>
      <c r="G255" s="37" t="s">
        <v>462</v>
      </c>
      <c r="H255" s="32" t="s">
        <v>16</v>
      </c>
      <c r="I255" s="38" t="str">
        <f t="shared" si="12"/>
        <v>Pass</v>
      </c>
      <c r="J255" s="39" t="s">
        <v>247</v>
      </c>
      <c r="K255" s="40"/>
      <c r="L255" s="52"/>
      <c r="M255" s="52"/>
      <c r="N255" s="53"/>
      <c r="O255" s="58" t="s">
        <v>54</v>
      </c>
    </row>
    <row r="256" spans="1:15" s="22" customFormat="1" ht="26.25">
      <c r="A256" s="32">
        <f>SUBTOTAL(103,$B$2:B256)*1</f>
        <v>255</v>
      </c>
      <c r="B256" s="23" t="s">
        <v>102</v>
      </c>
      <c r="C256" s="72" t="s">
        <v>463</v>
      </c>
      <c r="D256" s="32"/>
      <c r="E256" s="35" t="s">
        <v>464</v>
      </c>
      <c r="F256" s="32"/>
      <c r="G256" s="37" t="s">
        <v>464</v>
      </c>
      <c r="H256" s="32" t="s">
        <v>16</v>
      </c>
      <c r="I256" s="38" t="str">
        <f t="shared" si="12"/>
        <v>Pass</v>
      </c>
      <c r="J256" s="39" t="s">
        <v>247</v>
      </c>
      <c r="K256" s="40"/>
      <c r="L256" s="52"/>
      <c r="M256" s="52"/>
      <c r="N256" s="53"/>
      <c r="O256" s="58" t="s">
        <v>54</v>
      </c>
    </row>
    <row r="257" spans="1:15" s="22" customFormat="1" ht="26.25">
      <c r="A257" s="32">
        <f>SUBTOTAL(103,$B$2:B257)*1</f>
        <v>256</v>
      </c>
      <c r="B257" s="23" t="s">
        <v>102</v>
      </c>
      <c r="C257" s="72" t="s">
        <v>465</v>
      </c>
      <c r="D257" s="32"/>
      <c r="E257" s="60" t="str">
        <f t="array" ref="E257">_xlfn.IFS(E256="Yes","No",E256="No","Yes",E256="(선택)","")</f>
        <v>Yes</v>
      </c>
      <c r="F257" s="32"/>
      <c r="G257" s="37" t="s">
        <v>48</v>
      </c>
      <c r="H257" s="32" t="s">
        <v>16</v>
      </c>
      <c r="I257" s="38" t="str">
        <f t="shared" si="12"/>
        <v>Pass</v>
      </c>
      <c r="J257" s="39" t="s">
        <v>247</v>
      </c>
      <c r="K257" s="40"/>
      <c r="L257" s="52"/>
      <c r="M257" s="52"/>
      <c r="N257" s="53"/>
      <c r="O257" s="58" t="s">
        <v>54</v>
      </c>
    </row>
    <row r="258" spans="1:15" s="22" customFormat="1" ht="26.25">
      <c r="A258" s="32">
        <f>SUBTOTAL(103,$B$2:B258)*1</f>
        <v>257</v>
      </c>
      <c r="B258" s="23" t="s">
        <v>102</v>
      </c>
      <c r="C258" s="23" t="s">
        <v>466</v>
      </c>
      <c r="D258" s="32"/>
      <c r="E258" s="35" t="s">
        <v>467</v>
      </c>
      <c r="F258" s="32"/>
      <c r="G258" s="37" t="s">
        <v>467</v>
      </c>
      <c r="H258" s="32" t="s">
        <v>16</v>
      </c>
      <c r="I258" s="38" t="str">
        <f>IF(G258="","",IF(G258=E258,"Pass",""))</f>
        <v>Pass</v>
      </c>
      <c r="J258" s="39" t="s">
        <v>247</v>
      </c>
      <c r="K258" s="40"/>
      <c r="L258" s="52"/>
      <c r="M258" s="52"/>
      <c r="N258" s="53"/>
      <c r="O258" s="58" t="s">
        <v>54</v>
      </c>
    </row>
    <row r="259" spans="1:15" s="22" customFormat="1" ht="26.25">
      <c r="A259" s="32">
        <f>SUBTOTAL(103,$B$2:B259)*1</f>
        <v>258</v>
      </c>
      <c r="B259" s="23" t="s">
        <v>102</v>
      </c>
      <c r="C259" s="23" t="s">
        <v>468</v>
      </c>
      <c r="D259" s="32"/>
      <c r="E259" s="35" t="s">
        <v>469</v>
      </c>
      <c r="F259" s="32"/>
      <c r="G259" s="37" t="s">
        <v>469</v>
      </c>
      <c r="H259" s="32" t="s">
        <v>16</v>
      </c>
      <c r="I259" s="38" t="str">
        <f>IF(G259="","",IF(G259=E259,"Pass","Fail"))</f>
        <v>Pass</v>
      </c>
      <c r="J259" s="39" t="s">
        <v>247</v>
      </c>
      <c r="K259" s="40"/>
      <c r="L259" s="52"/>
      <c r="M259" s="52"/>
      <c r="N259" s="46" t="s">
        <v>470</v>
      </c>
      <c r="O259" s="58" t="s">
        <v>54</v>
      </c>
    </row>
    <row r="260" spans="1:15" s="22" customFormat="1" ht="26.25">
      <c r="A260" s="32">
        <f>SUBTOTAL(103,$B$2:B260)*1</f>
        <v>259</v>
      </c>
      <c r="B260" s="23" t="s">
        <v>102</v>
      </c>
      <c r="C260" s="23" t="s">
        <v>471</v>
      </c>
      <c r="D260" s="32"/>
      <c r="E260" s="35"/>
      <c r="F260" s="32">
        <v>5</v>
      </c>
      <c r="G260" s="45">
        <v>3.2</v>
      </c>
      <c r="H260" s="32" t="s">
        <v>83</v>
      </c>
      <c r="I260" s="38" t="str">
        <f>IF(G260="","",IF(AND(G260&lt;=F260),"Pass","Fail"))</f>
        <v>Pass</v>
      </c>
      <c r="J260" s="39" t="s">
        <v>247</v>
      </c>
      <c r="K260" s="40"/>
      <c r="L260" s="52"/>
      <c r="M260" s="52"/>
      <c r="N260" s="46" t="s">
        <v>472</v>
      </c>
      <c r="O260" s="58" t="s">
        <v>54</v>
      </c>
    </row>
    <row r="261" spans="1:15" s="22" customFormat="1" ht="26.25">
      <c r="A261" s="32">
        <f>SUBTOTAL(103,$B$2:B261)*1</f>
        <v>260</v>
      </c>
      <c r="B261" s="23" t="s">
        <v>102</v>
      </c>
      <c r="C261" s="23" t="s">
        <v>473</v>
      </c>
      <c r="D261" s="32"/>
      <c r="E261" s="35" t="s">
        <v>474</v>
      </c>
      <c r="F261" s="32"/>
      <c r="G261" s="37" t="s">
        <v>474</v>
      </c>
      <c r="H261" s="32" t="s">
        <v>267</v>
      </c>
      <c r="I261" s="38" t="str">
        <f>IF(G261="","",IF(G261=E261,"Pass","Fail"))</f>
        <v>Pass</v>
      </c>
      <c r="J261" s="39" t="s">
        <v>247</v>
      </c>
      <c r="K261" s="40"/>
      <c r="L261" s="52"/>
      <c r="M261" s="52"/>
      <c r="N261" s="53"/>
      <c r="O261" s="58" t="s">
        <v>54</v>
      </c>
    </row>
    <row r="262" spans="1:15" s="22" customFormat="1" ht="26.25">
      <c r="A262" s="32">
        <f>SUBTOTAL(103,$B$2:B262)*1</f>
        <v>261</v>
      </c>
      <c r="B262" s="23" t="s">
        <v>102</v>
      </c>
      <c r="C262" s="23" t="s">
        <v>475</v>
      </c>
      <c r="D262" s="32"/>
      <c r="E262" s="35">
        <v>2440</v>
      </c>
      <c r="F262" s="32"/>
      <c r="G262" s="37">
        <v>2440</v>
      </c>
      <c r="H262" s="32" t="s">
        <v>16</v>
      </c>
      <c r="I262" s="38" t="str">
        <f>IF(G262="","",IF(G262=E262,"Pass","Fail"))</f>
        <v>Pass</v>
      </c>
      <c r="J262" s="39" t="s">
        <v>247</v>
      </c>
      <c r="K262" s="40"/>
      <c r="L262" s="52"/>
      <c r="M262" s="52"/>
      <c r="N262" s="46" t="s">
        <v>470</v>
      </c>
      <c r="O262" s="58" t="s">
        <v>54</v>
      </c>
    </row>
    <row r="263" spans="1:15" s="22" customFormat="1" ht="26.25">
      <c r="A263" s="32">
        <f>SUBTOTAL(103,$B$2:B263)*1</f>
        <v>262</v>
      </c>
      <c r="B263" s="23" t="s">
        <v>102</v>
      </c>
      <c r="C263" s="23" t="s">
        <v>476</v>
      </c>
      <c r="D263" s="32"/>
      <c r="E263" s="35">
        <v>1828</v>
      </c>
      <c r="F263" s="32"/>
      <c r="G263" s="89">
        <v>1828</v>
      </c>
      <c r="H263" s="32" t="s">
        <v>16</v>
      </c>
      <c r="I263" s="38" t="str">
        <f>IF(G263="","",IF(G263=E263,"Pass",""))</f>
        <v>Pass</v>
      </c>
      <c r="J263" s="39" t="s">
        <v>247</v>
      </c>
      <c r="K263" s="40"/>
      <c r="L263" s="52"/>
      <c r="M263" s="52"/>
      <c r="N263" s="46" t="s">
        <v>477</v>
      </c>
      <c r="O263" s="58" t="s">
        <v>54</v>
      </c>
    </row>
    <row r="264" spans="1:15" s="22" customFormat="1" ht="26.25">
      <c r="A264" s="32">
        <f>SUBTOTAL(103,$B$2:B264)*1</f>
        <v>263</v>
      </c>
      <c r="B264" s="23" t="s">
        <v>102</v>
      </c>
      <c r="C264" s="23" t="s">
        <v>478</v>
      </c>
      <c r="D264" s="32">
        <v>15</v>
      </c>
      <c r="E264" s="35"/>
      <c r="F264" s="32"/>
      <c r="G264" s="45">
        <v>25</v>
      </c>
      <c r="H264" s="32" t="s">
        <v>479</v>
      </c>
      <c r="I264" s="38" t="str">
        <f>IF(G264="","",IF(AND(G264&gt;=D264),"Pass","Fail"))</f>
        <v>Pass</v>
      </c>
      <c r="J264" s="39" t="s">
        <v>247</v>
      </c>
      <c r="K264" s="40"/>
      <c r="L264" s="52"/>
      <c r="M264" s="52"/>
      <c r="N264" s="46" t="s">
        <v>480</v>
      </c>
      <c r="O264" s="58" t="s">
        <v>54</v>
      </c>
    </row>
    <row r="265" spans="1:15" s="22" customFormat="1" ht="26.25">
      <c r="A265" s="32">
        <f>SUBTOTAL(103,$B$2:B265)*1</f>
        <v>264</v>
      </c>
      <c r="B265" s="23" t="s">
        <v>106</v>
      </c>
      <c r="C265" s="23" t="s">
        <v>395</v>
      </c>
      <c r="D265" s="32"/>
      <c r="E265" s="35" t="s">
        <v>48</v>
      </c>
      <c r="F265" s="32"/>
      <c r="G265" s="37" t="s">
        <v>48</v>
      </c>
      <c r="H265" s="32" t="s">
        <v>16</v>
      </c>
      <c r="I265" s="38" t="str">
        <f t="shared" ref="I265:I287" si="13">IF(G265="","",IF(G265=E265,"Pass","Fail"))</f>
        <v>Pass</v>
      </c>
      <c r="J265" s="39" t="s">
        <v>247</v>
      </c>
      <c r="K265" s="40"/>
      <c r="L265" s="52"/>
      <c r="M265" s="52"/>
      <c r="N265" s="53"/>
      <c r="O265" s="58" t="s">
        <v>54</v>
      </c>
    </row>
    <row r="266" spans="1:15" s="22" customFormat="1" ht="26.25">
      <c r="A266" s="32">
        <f>SUBTOTAL(103,$B$2:B266)*1</f>
        <v>265</v>
      </c>
      <c r="B266" s="23" t="s">
        <v>145</v>
      </c>
      <c r="C266" s="23" t="s">
        <v>481</v>
      </c>
      <c r="D266" s="32"/>
      <c r="E266" s="35" t="s">
        <v>48</v>
      </c>
      <c r="F266" s="32"/>
      <c r="G266" s="37" t="s">
        <v>48</v>
      </c>
      <c r="H266" s="32" t="s">
        <v>16</v>
      </c>
      <c r="I266" s="38" t="str">
        <f t="shared" si="13"/>
        <v>Pass</v>
      </c>
      <c r="J266" s="39" t="s">
        <v>247</v>
      </c>
      <c r="K266" s="40"/>
      <c r="L266" s="52"/>
      <c r="M266" s="52"/>
      <c r="N266" s="53"/>
      <c r="O266" s="43"/>
    </row>
    <row r="267" spans="1:15" s="22" customFormat="1" ht="26.25">
      <c r="A267" s="32">
        <f>SUBTOTAL(103,$B$2:B267)*1</f>
        <v>266</v>
      </c>
      <c r="B267" s="23" t="s">
        <v>145</v>
      </c>
      <c r="C267" s="23" t="s">
        <v>482</v>
      </c>
      <c r="D267" s="32"/>
      <c r="E267" s="35" t="s">
        <v>48</v>
      </c>
      <c r="F267" s="32"/>
      <c r="G267" s="37" t="s">
        <v>48</v>
      </c>
      <c r="H267" s="32" t="s">
        <v>16</v>
      </c>
      <c r="I267" s="38" t="str">
        <f t="shared" si="13"/>
        <v>Pass</v>
      </c>
      <c r="J267" s="39" t="s">
        <v>247</v>
      </c>
      <c r="K267" s="40"/>
      <c r="L267" s="52"/>
      <c r="M267" s="52"/>
      <c r="N267" s="53"/>
      <c r="O267" s="43"/>
    </row>
    <row r="268" spans="1:15" s="22" customFormat="1" ht="26.25">
      <c r="A268" s="32">
        <f>SUBTOTAL(103,$B$2:B268)*1</f>
        <v>267</v>
      </c>
      <c r="B268" s="23" t="s">
        <v>145</v>
      </c>
      <c r="C268" s="23" t="s">
        <v>483</v>
      </c>
      <c r="D268" s="32"/>
      <c r="E268" s="35" t="s">
        <v>48</v>
      </c>
      <c r="F268" s="32"/>
      <c r="G268" s="37" t="s">
        <v>48</v>
      </c>
      <c r="H268" s="32" t="s">
        <v>16</v>
      </c>
      <c r="I268" s="38" t="str">
        <f t="shared" si="13"/>
        <v>Pass</v>
      </c>
      <c r="J268" s="39" t="s">
        <v>247</v>
      </c>
      <c r="K268" s="40"/>
      <c r="L268" s="52"/>
      <c r="M268" s="52"/>
      <c r="N268" s="53"/>
      <c r="O268" s="43"/>
    </row>
    <row r="269" spans="1:15" s="22" customFormat="1" ht="26.25">
      <c r="A269" s="32">
        <f>SUBTOTAL(103,$B$2:B269)*1</f>
        <v>268</v>
      </c>
      <c r="B269" s="23" t="s">
        <v>145</v>
      </c>
      <c r="C269" s="23" t="s">
        <v>484</v>
      </c>
      <c r="D269" s="32"/>
      <c r="E269" s="35" t="s">
        <v>100</v>
      </c>
      <c r="F269" s="32"/>
      <c r="G269" s="37" t="s">
        <v>100</v>
      </c>
      <c r="H269" s="32" t="s">
        <v>16</v>
      </c>
      <c r="I269" s="38" t="str">
        <f t="shared" si="13"/>
        <v>Pass</v>
      </c>
      <c r="J269" s="39" t="s">
        <v>247</v>
      </c>
      <c r="K269" s="40"/>
      <c r="L269" s="52"/>
      <c r="M269" s="52"/>
      <c r="N269" s="53" t="s">
        <v>485</v>
      </c>
      <c r="O269" s="43"/>
    </row>
    <row r="270" spans="1:15" s="22" customFormat="1" ht="26.25">
      <c r="A270" s="32">
        <f>SUBTOTAL(103,$B$2:B270)*1</f>
        <v>269</v>
      </c>
      <c r="B270" s="23" t="s">
        <v>145</v>
      </c>
      <c r="C270" s="23" t="s">
        <v>486</v>
      </c>
      <c r="D270" s="32"/>
      <c r="E270" s="35" t="s">
        <v>48</v>
      </c>
      <c r="F270" s="32"/>
      <c r="G270" s="37" t="s">
        <v>48</v>
      </c>
      <c r="H270" s="32" t="s">
        <v>16</v>
      </c>
      <c r="I270" s="38" t="str">
        <f t="shared" si="13"/>
        <v>Pass</v>
      </c>
      <c r="J270" s="39" t="s">
        <v>247</v>
      </c>
      <c r="K270" s="40"/>
      <c r="L270" s="52"/>
      <c r="M270" s="52"/>
      <c r="N270" s="53"/>
      <c r="O270" s="43"/>
    </row>
    <row r="271" spans="1:15" s="22" customFormat="1" ht="26.25">
      <c r="A271" s="32">
        <f>SUBTOTAL(103,$B$2:B271)*1</f>
        <v>270</v>
      </c>
      <c r="B271" s="23" t="s">
        <v>145</v>
      </c>
      <c r="C271" s="23" t="s">
        <v>487</v>
      </c>
      <c r="D271" s="32"/>
      <c r="E271" s="35" t="s">
        <v>48</v>
      </c>
      <c r="F271" s="32"/>
      <c r="G271" s="37" t="s">
        <v>48</v>
      </c>
      <c r="H271" s="32" t="s">
        <v>16</v>
      </c>
      <c r="I271" s="38" t="str">
        <f t="shared" si="13"/>
        <v>Pass</v>
      </c>
      <c r="J271" s="39" t="s">
        <v>247</v>
      </c>
      <c r="K271" s="40"/>
      <c r="L271" s="52"/>
      <c r="M271" s="52"/>
      <c r="N271" s="53"/>
      <c r="O271" s="58" t="s">
        <v>54</v>
      </c>
    </row>
    <row r="272" spans="1:15" s="22" customFormat="1" ht="26.25">
      <c r="A272" s="32">
        <f>SUBTOTAL(103,$B$2:B272)*1</f>
        <v>271</v>
      </c>
      <c r="B272" s="23" t="s">
        <v>145</v>
      </c>
      <c r="C272" s="23" t="s">
        <v>488</v>
      </c>
      <c r="D272" s="32"/>
      <c r="E272" s="35" t="s">
        <v>48</v>
      </c>
      <c r="F272" s="32"/>
      <c r="G272" s="37" t="s">
        <v>48</v>
      </c>
      <c r="H272" s="32" t="s">
        <v>16</v>
      </c>
      <c r="I272" s="38" t="str">
        <f t="shared" si="13"/>
        <v>Pass</v>
      </c>
      <c r="J272" s="39" t="s">
        <v>247</v>
      </c>
      <c r="K272" s="40"/>
      <c r="L272" s="52"/>
      <c r="M272" s="52"/>
      <c r="N272" s="53"/>
      <c r="O272" s="58" t="s">
        <v>54</v>
      </c>
    </row>
    <row r="273" spans="1:15" s="22" customFormat="1" ht="26.25">
      <c r="A273" s="32">
        <f>SUBTOTAL(103,$B$2:B273)*1</f>
        <v>272</v>
      </c>
      <c r="B273" s="23" t="s">
        <v>145</v>
      </c>
      <c r="C273" s="23" t="s">
        <v>489</v>
      </c>
      <c r="D273" s="32"/>
      <c r="E273" s="35" t="s">
        <v>48</v>
      </c>
      <c r="F273" s="32"/>
      <c r="G273" s="37" t="s">
        <v>48</v>
      </c>
      <c r="H273" s="32" t="s">
        <v>16</v>
      </c>
      <c r="I273" s="38" t="str">
        <f t="shared" si="13"/>
        <v>Pass</v>
      </c>
      <c r="J273" s="39" t="s">
        <v>247</v>
      </c>
      <c r="K273" s="40"/>
      <c r="L273" s="52"/>
      <c r="M273" s="52"/>
      <c r="N273" s="53"/>
      <c r="O273" s="58" t="s">
        <v>54</v>
      </c>
    </row>
    <row r="274" spans="1:15" s="22" customFormat="1" ht="26.25">
      <c r="A274" s="32">
        <f>SUBTOTAL(103,$B$2:B274)*1</f>
        <v>273</v>
      </c>
      <c r="B274" s="23" t="s">
        <v>145</v>
      </c>
      <c r="C274" s="23" t="s">
        <v>490</v>
      </c>
      <c r="D274" s="32"/>
      <c r="E274" s="35" t="s">
        <v>48</v>
      </c>
      <c r="F274" s="32"/>
      <c r="G274" s="37" t="s">
        <v>48</v>
      </c>
      <c r="H274" s="32" t="s">
        <v>16</v>
      </c>
      <c r="I274" s="38" t="str">
        <f t="shared" si="13"/>
        <v>Pass</v>
      </c>
      <c r="J274" s="39" t="s">
        <v>247</v>
      </c>
      <c r="K274" s="40"/>
      <c r="L274" s="52"/>
      <c r="M274" s="52"/>
      <c r="N274" s="53"/>
      <c r="O274" s="58" t="s">
        <v>54</v>
      </c>
    </row>
    <row r="275" spans="1:15" s="22" customFormat="1" ht="26.25">
      <c r="A275" s="32">
        <f>SUBTOTAL(103,$B$2:B275)*1</f>
        <v>274</v>
      </c>
      <c r="B275" s="23" t="s">
        <v>145</v>
      </c>
      <c r="C275" s="23" t="s">
        <v>491</v>
      </c>
      <c r="D275" s="32"/>
      <c r="E275" s="35" t="s">
        <v>48</v>
      </c>
      <c r="F275" s="32"/>
      <c r="G275" s="37" t="s">
        <v>48</v>
      </c>
      <c r="H275" s="32" t="s">
        <v>16</v>
      </c>
      <c r="I275" s="38" t="str">
        <f t="shared" si="13"/>
        <v>Pass</v>
      </c>
      <c r="J275" s="39" t="s">
        <v>247</v>
      </c>
      <c r="K275" s="40"/>
      <c r="L275" s="52"/>
      <c r="M275" s="52"/>
      <c r="N275" s="46" t="s">
        <v>492</v>
      </c>
      <c r="O275" s="43"/>
    </row>
    <row r="276" spans="1:15" s="22" customFormat="1" ht="26.25">
      <c r="A276" s="32">
        <f>SUBTOTAL(103,$B$2:B276)*1</f>
        <v>275</v>
      </c>
      <c r="B276" s="23" t="s">
        <v>145</v>
      </c>
      <c r="C276" s="23" t="s">
        <v>493</v>
      </c>
      <c r="D276" s="32"/>
      <c r="E276" s="35" t="s">
        <v>48</v>
      </c>
      <c r="F276" s="32"/>
      <c r="G276" s="37" t="s">
        <v>48</v>
      </c>
      <c r="H276" s="32" t="s">
        <v>16</v>
      </c>
      <c r="I276" s="38" t="str">
        <f t="shared" si="13"/>
        <v>Pass</v>
      </c>
      <c r="J276" s="56" t="s">
        <v>247</v>
      </c>
      <c r="K276" s="90"/>
      <c r="L276" s="91"/>
      <c r="M276" s="91"/>
      <c r="N276" s="53"/>
      <c r="O276" s="43"/>
    </row>
    <row r="277" spans="1:15" s="22" customFormat="1" ht="26.25">
      <c r="A277" s="32">
        <f>SUBTOTAL(103,$B$2:B277)*1</f>
        <v>276</v>
      </c>
      <c r="B277" s="23" t="s">
        <v>145</v>
      </c>
      <c r="C277" s="23" t="s">
        <v>494</v>
      </c>
      <c r="D277" s="32"/>
      <c r="E277" s="35" t="s">
        <v>48</v>
      </c>
      <c r="F277" s="32"/>
      <c r="G277" s="37" t="s">
        <v>48</v>
      </c>
      <c r="H277" s="32" t="s">
        <v>16</v>
      </c>
      <c r="I277" s="38" t="str">
        <f t="shared" si="13"/>
        <v>Pass</v>
      </c>
      <c r="J277" s="56" t="s">
        <v>247</v>
      </c>
      <c r="K277" s="90"/>
      <c r="L277" s="91"/>
      <c r="M277" s="91"/>
      <c r="N277" s="53"/>
      <c r="O277" s="43"/>
    </row>
    <row r="278" spans="1:15" s="22" customFormat="1" ht="26.25">
      <c r="A278" s="32">
        <f>SUBTOTAL(103,$B$2:B278)*1</f>
        <v>277</v>
      </c>
      <c r="B278" s="23" t="s">
        <v>145</v>
      </c>
      <c r="C278" s="23" t="s">
        <v>495</v>
      </c>
      <c r="D278" s="32"/>
      <c r="E278" s="35" t="s">
        <v>48</v>
      </c>
      <c r="F278" s="32"/>
      <c r="G278" s="37" t="s">
        <v>48</v>
      </c>
      <c r="H278" s="32" t="s">
        <v>16</v>
      </c>
      <c r="I278" s="38" t="str">
        <f t="shared" si="13"/>
        <v>Pass</v>
      </c>
      <c r="J278" s="56" t="s">
        <v>247</v>
      </c>
      <c r="K278" s="90"/>
      <c r="L278" s="91"/>
      <c r="M278" s="91"/>
      <c r="N278" s="53"/>
      <c r="O278" s="43"/>
    </row>
    <row r="279" spans="1:15" s="22" customFormat="1" ht="26.25">
      <c r="A279" s="32">
        <f>SUBTOTAL(103,$B$2:B279)*1</f>
        <v>278</v>
      </c>
      <c r="B279" s="23" t="s">
        <v>145</v>
      </c>
      <c r="C279" s="23" t="s">
        <v>496</v>
      </c>
      <c r="D279" s="32"/>
      <c r="E279" s="35" t="s">
        <v>497</v>
      </c>
      <c r="F279" s="32"/>
      <c r="G279" s="37" t="s">
        <v>497</v>
      </c>
      <c r="H279" s="32" t="s">
        <v>16</v>
      </c>
      <c r="I279" s="38" t="str">
        <f t="shared" si="13"/>
        <v>Pass</v>
      </c>
      <c r="J279" s="39" t="s">
        <v>247</v>
      </c>
      <c r="K279" s="40"/>
      <c r="L279" s="52"/>
      <c r="M279" s="52"/>
      <c r="N279" s="53"/>
      <c r="O279" s="43"/>
    </row>
    <row r="280" spans="1:15" s="22" customFormat="1" ht="23.25">
      <c r="A280" s="32">
        <f>SUBTOTAL(103,$B$2:B280)*1</f>
        <v>279</v>
      </c>
      <c r="B280" s="28" t="s">
        <v>145</v>
      </c>
      <c r="C280" s="23" t="s">
        <v>498</v>
      </c>
      <c r="D280" s="32"/>
      <c r="E280" s="35" t="s">
        <v>48</v>
      </c>
      <c r="F280" s="32"/>
      <c r="G280" s="37" t="s">
        <v>48</v>
      </c>
      <c r="H280" s="32" t="s">
        <v>16</v>
      </c>
      <c r="I280" s="38" t="str">
        <f t="shared" si="13"/>
        <v>Pass</v>
      </c>
      <c r="J280" s="39" t="s">
        <v>247</v>
      </c>
      <c r="K280" s="40"/>
      <c r="L280" s="52"/>
      <c r="M280" s="52"/>
      <c r="N280" s="46" t="s">
        <v>499</v>
      </c>
      <c r="O280" s="43"/>
    </row>
    <row r="281" spans="1:15" s="22" customFormat="1" ht="26.25">
      <c r="A281" s="32">
        <f>SUBTOTAL(103,$B$2:B281)*1</f>
        <v>280</v>
      </c>
      <c r="B281" s="23" t="s">
        <v>145</v>
      </c>
      <c r="C281" s="23" t="s">
        <v>413</v>
      </c>
      <c r="D281" s="32"/>
      <c r="E281" s="35" t="s">
        <v>414</v>
      </c>
      <c r="F281" s="32"/>
      <c r="G281" s="37" t="s">
        <v>414</v>
      </c>
      <c r="H281" s="32" t="s">
        <v>16</v>
      </c>
      <c r="I281" s="38" t="str">
        <f t="shared" si="13"/>
        <v>Pass</v>
      </c>
      <c r="J281" s="39" t="s">
        <v>247</v>
      </c>
      <c r="K281" s="40"/>
      <c r="L281" s="52"/>
      <c r="M281" s="52"/>
      <c r="N281" s="46" t="s">
        <v>500</v>
      </c>
      <c r="O281" s="43"/>
    </row>
    <row r="282" spans="1:15" s="22" customFormat="1" ht="23.25">
      <c r="A282" s="32">
        <f>SUBTOTAL(103,$B$2:B282)*1</f>
        <v>281</v>
      </c>
      <c r="B282" s="23" t="s">
        <v>145</v>
      </c>
      <c r="C282" s="23" t="s">
        <v>501</v>
      </c>
      <c r="D282" s="32"/>
      <c r="E282" s="35" t="s">
        <v>502</v>
      </c>
      <c r="F282" s="32"/>
      <c r="G282" s="37" t="s">
        <v>502</v>
      </c>
      <c r="H282" s="32" t="s">
        <v>16</v>
      </c>
      <c r="I282" s="38" t="str">
        <f t="shared" si="13"/>
        <v>Pass</v>
      </c>
      <c r="J282" s="39" t="s">
        <v>247</v>
      </c>
      <c r="K282" s="40"/>
      <c r="L282" s="52"/>
      <c r="M282" s="52"/>
      <c r="N282" s="46" t="s">
        <v>503</v>
      </c>
      <c r="O282" s="43"/>
    </row>
    <row r="283" spans="1:15" s="22" customFormat="1" ht="23.25">
      <c r="A283" s="32">
        <f>SUBTOTAL(103,$B$2:B283)*1</f>
        <v>282</v>
      </c>
      <c r="B283" s="23" t="s">
        <v>145</v>
      </c>
      <c r="C283" s="23" t="s">
        <v>504</v>
      </c>
      <c r="D283" s="32"/>
      <c r="E283" s="35" t="s">
        <v>422</v>
      </c>
      <c r="F283" s="32"/>
      <c r="G283" s="37" t="s">
        <v>422</v>
      </c>
      <c r="H283" s="32" t="s">
        <v>16</v>
      </c>
      <c r="I283" s="38" t="str">
        <f t="shared" si="13"/>
        <v>Pass</v>
      </c>
      <c r="J283" s="39" t="s">
        <v>247</v>
      </c>
      <c r="K283" s="40"/>
      <c r="L283" s="52"/>
      <c r="M283" s="52"/>
      <c r="N283" s="46" t="s">
        <v>423</v>
      </c>
      <c r="O283" s="43"/>
    </row>
    <row r="284" spans="1:15" s="22" customFormat="1" ht="23.25">
      <c r="A284" s="32">
        <f>SUBTOTAL(103,$B$2:B284)*1</f>
        <v>283</v>
      </c>
      <c r="B284" s="23" t="s">
        <v>145</v>
      </c>
      <c r="C284" s="23" t="s">
        <v>505</v>
      </c>
      <c r="D284" s="32"/>
      <c r="E284" s="35" t="s">
        <v>422</v>
      </c>
      <c r="F284" s="32"/>
      <c r="G284" s="37" t="s">
        <v>422</v>
      </c>
      <c r="H284" s="32" t="s">
        <v>16</v>
      </c>
      <c r="I284" s="38" t="str">
        <f t="shared" si="13"/>
        <v>Pass</v>
      </c>
      <c r="J284" s="39" t="s">
        <v>247</v>
      </c>
      <c r="K284" s="40"/>
      <c r="L284" s="52"/>
      <c r="M284" s="52"/>
      <c r="N284" s="46" t="s">
        <v>423</v>
      </c>
      <c r="O284" s="43"/>
    </row>
    <row r="285" spans="1:15" s="22" customFormat="1" ht="26.25">
      <c r="A285" s="32">
        <f>SUBTOTAL(103,$B$2:B285)*1</f>
        <v>284</v>
      </c>
      <c r="B285" s="23" t="s">
        <v>145</v>
      </c>
      <c r="C285" s="23" t="s">
        <v>506</v>
      </c>
      <c r="D285" s="32"/>
      <c r="E285" s="35">
        <v>0.05</v>
      </c>
      <c r="F285" s="32"/>
      <c r="G285" s="37">
        <v>0.05</v>
      </c>
      <c r="H285" s="32" t="s">
        <v>83</v>
      </c>
      <c r="I285" s="38" t="str">
        <f t="shared" si="13"/>
        <v>Pass</v>
      </c>
      <c r="J285" s="39" t="s">
        <v>247</v>
      </c>
      <c r="K285" s="40"/>
      <c r="L285" s="52"/>
      <c r="M285" s="52"/>
      <c r="N285" s="46" t="s">
        <v>433</v>
      </c>
      <c r="O285" s="43"/>
    </row>
    <row r="286" spans="1:15" s="22" customFormat="1" ht="26.25">
      <c r="A286" s="32">
        <f>SUBTOTAL(103,$B$2:B286)*1</f>
        <v>285</v>
      </c>
      <c r="B286" s="23" t="s">
        <v>145</v>
      </c>
      <c r="C286" s="23" t="s">
        <v>507</v>
      </c>
      <c r="D286" s="32"/>
      <c r="E286" s="35">
        <v>38400</v>
      </c>
      <c r="F286" s="32"/>
      <c r="G286" s="37">
        <v>38400</v>
      </c>
      <c r="H286" s="32" t="s">
        <v>16</v>
      </c>
      <c r="I286" s="38" t="str">
        <f t="shared" si="13"/>
        <v>Pass</v>
      </c>
      <c r="J286" s="56" t="s">
        <v>247</v>
      </c>
      <c r="K286" s="90"/>
      <c r="L286" s="91"/>
      <c r="M286" s="91"/>
      <c r="N286" s="46" t="s">
        <v>508</v>
      </c>
      <c r="O286" s="43"/>
    </row>
    <row r="287" spans="1:15" s="22" customFormat="1" ht="26.25">
      <c r="A287" s="32">
        <f>SUBTOTAL(103,$B$2:B287)*1</f>
        <v>286</v>
      </c>
      <c r="B287" s="23" t="s">
        <v>145</v>
      </c>
      <c r="C287" s="23" t="s">
        <v>509</v>
      </c>
      <c r="D287" s="32"/>
      <c r="E287" s="35">
        <v>1</v>
      </c>
      <c r="F287" s="32"/>
      <c r="G287" s="37">
        <v>1</v>
      </c>
      <c r="H287" s="32" t="s">
        <v>16</v>
      </c>
      <c r="I287" s="38" t="str">
        <f t="shared" si="13"/>
        <v>Pass</v>
      </c>
      <c r="J287" s="56" t="s">
        <v>247</v>
      </c>
      <c r="K287" s="90"/>
      <c r="L287" s="91"/>
      <c r="M287" s="91"/>
      <c r="N287" s="46" t="s">
        <v>508</v>
      </c>
      <c r="O287" s="43"/>
    </row>
    <row r="288" spans="1:15" s="22" customFormat="1" ht="26.25">
      <c r="A288" s="32">
        <f>SUBTOTAL(103,$B$2:B288)*1</f>
        <v>287</v>
      </c>
      <c r="B288" s="28" t="s">
        <v>510</v>
      </c>
      <c r="C288" s="23" t="s">
        <v>511</v>
      </c>
      <c r="D288" s="32"/>
      <c r="E288" s="35" t="s">
        <v>16</v>
      </c>
      <c r="F288" s="32"/>
      <c r="G288" s="45">
        <v>-127021</v>
      </c>
      <c r="H288" s="32" t="s">
        <v>16</v>
      </c>
      <c r="I288" s="38" t="s">
        <v>19</v>
      </c>
      <c r="J288" s="39" t="s">
        <v>247</v>
      </c>
      <c r="K288" s="40"/>
      <c r="L288" s="52"/>
      <c r="M288" s="52"/>
      <c r="N288" s="46" t="s">
        <v>512</v>
      </c>
      <c r="O288" s="58"/>
    </row>
    <row r="289" spans="1:15" s="22" customFormat="1" ht="26.25">
      <c r="A289" s="32">
        <f>SUBTOTAL(103,$B$2:B289)*1</f>
        <v>288</v>
      </c>
      <c r="B289" s="28" t="s">
        <v>510</v>
      </c>
      <c r="C289" s="23" t="s">
        <v>513</v>
      </c>
      <c r="D289" s="32"/>
      <c r="E289" s="35" t="s">
        <v>16</v>
      </c>
      <c r="F289" s="32"/>
      <c r="G289" s="37">
        <v>86462.399999999994</v>
      </c>
      <c r="H289" s="32" t="s">
        <v>16</v>
      </c>
      <c r="I289" s="38" t="s">
        <v>19</v>
      </c>
      <c r="J289" s="56" t="s">
        <v>247</v>
      </c>
      <c r="K289" s="90"/>
      <c r="L289" s="91"/>
      <c r="M289" s="91"/>
      <c r="N289" s="46" t="s">
        <v>512</v>
      </c>
      <c r="O289" s="58"/>
    </row>
    <row r="290" spans="1:15" s="22" customFormat="1" ht="26.25">
      <c r="A290" s="32">
        <f>SUBTOTAL(103,$B$2:B290)*1</f>
        <v>289</v>
      </c>
      <c r="B290" s="23" t="s">
        <v>510</v>
      </c>
      <c r="C290" s="23" t="s">
        <v>514</v>
      </c>
      <c r="D290" s="32">
        <v>300000</v>
      </c>
      <c r="E290" s="35"/>
      <c r="F290" s="32"/>
      <c r="G290" s="45">
        <f>ABS(G291-G292)</f>
        <v>306846</v>
      </c>
      <c r="H290" s="32" t="s">
        <v>83</v>
      </c>
      <c r="I290" s="38" t="str">
        <f>IF(G290="","",IF(AND(G290&gt;=D290),"Pass","Fail"))</f>
        <v>Pass</v>
      </c>
      <c r="J290" s="39" t="s">
        <v>247</v>
      </c>
      <c r="K290" s="40"/>
      <c r="L290" s="52"/>
      <c r="M290" s="52"/>
      <c r="N290" s="46" t="s">
        <v>515</v>
      </c>
      <c r="O290" s="58" t="s">
        <v>54</v>
      </c>
    </row>
    <row r="291" spans="1:15" s="22" customFormat="1" ht="26.25">
      <c r="A291" s="32">
        <f>SUBTOTAL(103,$B$2:B291)*1</f>
        <v>290</v>
      </c>
      <c r="B291" s="23" t="s">
        <v>510</v>
      </c>
      <c r="C291" s="23" t="s">
        <v>516</v>
      </c>
      <c r="D291" s="32">
        <v>150000</v>
      </c>
      <c r="E291" s="35"/>
      <c r="F291" s="32"/>
      <c r="G291" s="45">
        <v>153553</v>
      </c>
      <c r="H291" s="32" t="s">
        <v>83</v>
      </c>
      <c r="I291" s="38" t="str">
        <f>IF(G291="","",IF(G291&gt;=D291,"Pass","Fail"))</f>
        <v>Pass</v>
      </c>
      <c r="J291" s="39" t="s">
        <v>247</v>
      </c>
      <c r="K291" s="40"/>
      <c r="L291" s="52"/>
      <c r="M291" s="52"/>
      <c r="N291" s="53"/>
      <c r="O291" s="58" t="s">
        <v>54</v>
      </c>
    </row>
    <row r="292" spans="1:15" s="22" customFormat="1" ht="26.25">
      <c r="A292" s="32">
        <f>SUBTOTAL(103,$B$2:B292)*1</f>
        <v>291</v>
      </c>
      <c r="B292" s="23" t="s">
        <v>510</v>
      </c>
      <c r="C292" s="23" t="s">
        <v>517</v>
      </c>
      <c r="D292" s="32"/>
      <c r="E292" s="35"/>
      <c r="F292" s="32">
        <v>-150000</v>
      </c>
      <c r="G292" s="45">
        <v>-153293</v>
      </c>
      <c r="H292" s="32" t="s">
        <v>83</v>
      </c>
      <c r="I292" s="38" t="str">
        <f>IF(G292="","",IF(AND(G292&lt;=F292),"Pass","Fail"))</f>
        <v>Pass</v>
      </c>
      <c r="J292" s="39" t="s">
        <v>247</v>
      </c>
      <c r="K292" s="40"/>
      <c r="L292" s="52"/>
      <c r="M292" s="52"/>
      <c r="N292" s="53"/>
      <c r="O292" s="58" t="s">
        <v>54</v>
      </c>
    </row>
    <row r="293" spans="1:15" s="22" customFormat="1" ht="26.25">
      <c r="A293" s="32">
        <f>SUBTOTAL(103,$B$2:B293)*1</f>
        <v>292</v>
      </c>
      <c r="B293" s="23" t="s">
        <v>510</v>
      </c>
      <c r="C293" s="23" t="s">
        <v>518</v>
      </c>
      <c r="D293" s="32">
        <v>200000</v>
      </c>
      <c r="E293" s="35"/>
      <c r="F293" s="32"/>
      <c r="G293" s="45">
        <f>ABS(G294-G295)</f>
        <v>206631</v>
      </c>
      <c r="H293" s="32" t="s">
        <v>83</v>
      </c>
      <c r="I293" s="38" t="str">
        <f>IF(G293="","",IF(AND(G293&gt;=D293),"Pass","Fail"))</f>
        <v>Pass</v>
      </c>
      <c r="J293" s="39" t="s">
        <v>247</v>
      </c>
      <c r="K293" s="40"/>
      <c r="L293" s="52"/>
      <c r="M293" s="52"/>
      <c r="N293" s="46" t="s">
        <v>515</v>
      </c>
      <c r="O293" s="58" t="s">
        <v>54</v>
      </c>
    </row>
    <row r="294" spans="1:15" s="22" customFormat="1" ht="26.25">
      <c r="A294" s="32">
        <f>SUBTOTAL(103,$B$2:B294)*1</f>
        <v>293</v>
      </c>
      <c r="B294" s="23" t="s">
        <v>510</v>
      </c>
      <c r="C294" s="23" t="s">
        <v>519</v>
      </c>
      <c r="D294" s="32">
        <v>100000</v>
      </c>
      <c r="E294" s="35"/>
      <c r="F294" s="32"/>
      <c r="G294" s="45">
        <v>103162</v>
      </c>
      <c r="H294" s="32" t="s">
        <v>83</v>
      </c>
      <c r="I294" s="38" t="str">
        <f>IF(G294="","",IF(AND(G294&gt;=D294),"Pass","Fail"))</f>
        <v>Pass</v>
      </c>
      <c r="J294" s="39" t="s">
        <v>247</v>
      </c>
      <c r="K294" s="40"/>
      <c r="L294" s="52"/>
      <c r="M294" s="52"/>
      <c r="N294" s="53"/>
      <c r="O294" s="58" t="s">
        <v>54</v>
      </c>
    </row>
    <row r="295" spans="1:15" s="22" customFormat="1" ht="26.25">
      <c r="A295" s="32">
        <f>SUBTOTAL(103,$B$2:B295)*1</f>
        <v>294</v>
      </c>
      <c r="B295" s="23" t="s">
        <v>510</v>
      </c>
      <c r="C295" s="23" t="s">
        <v>520</v>
      </c>
      <c r="D295" s="32"/>
      <c r="E295" s="35"/>
      <c r="F295" s="32">
        <v>-100000</v>
      </c>
      <c r="G295" s="45">
        <v>-103469</v>
      </c>
      <c r="H295" s="32" t="s">
        <v>83</v>
      </c>
      <c r="I295" s="38" t="str">
        <f>IF(G295="","",IF(AND(G295&lt;=F295),"Pass","Fail"))</f>
        <v>Pass</v>
      </c>
      <c r="J295" s="39" t="s">
        <v>247</v>
      </c>
      <c r="K295" s="40"/>
      <c r="L295" s="52"/>
      <c r="M295" s="52"/>
      <c r="N295" s="53"/>
      <c r="O295" s="58" t="s">
        <v>54</v>
      </c>
    </row>
    <row r="296" spans="1:15" s="22" customFormat="1" ht="26.25">
      <c r="A296" s="32">
        <f>SUBTOTAL(103,$B$2:B296)*1</f>
        <v>295</v>
      </c>
      <c r="B296" s="28" t="s">
        <v>521</v>
      </c>
      <c r="C296" s="23" t="s">
        <v>522</v>
      </c>
      <c r="D296" s="32">
        <v>200000</v>
      </c>
      <c r="E296" s="60"/>
      <c r="F296" s="32"/>
      <c r="G296" s="45">
        <v>200490</v>
      </c>
      <c r="H296" s="32" t="s">
        <v>83</v>
      </c>
      <c r="I296" s="38" t="str">
        <f>IF(G296="","",IF(AND(G296&gt;=D296),"Pass","Fail"))</f>
        <v>Pass</v>
      </c>
      <c r="J296" s="39" t="s">
        <v>247</v>
      </c>
      <c r="K296" s="40"/>
      <c r="L296" s="76"/>
      <c r="M296" s="76"/>
      <c r="N296" s="53"/>
      <c r="O296" s="58" t="s">
        <v>54</v>
      </c>
    </row>
    <row r="297" spans="1:15" s="22" customFormat="1" ht="26.25">
      <c r="A297" s="32">
        <f>SUBTOTAL(103,$B$2:B297)*1</f>
        <v>296</v>
      </c>
      <c r="B297" s="28" t="s">
        <v>521</v>
      </c>
      <c r="C297" s="23" t="s">
        <v>523</v>
      </c>
      <c r="D297" s="32">
        <v>100000</v>
      </c>
      <c r="E297" s="35"/>
      <c r="F297" s="32">
        <v>105000</v>
      </c>
      <c r="G297" s="37">
        <v>100227.8</v>
      </c>
      <c r="H297" s="32" t="s">
        <v>83</v>
      </c>
      <c r="I297" s="38" t="str">
        <f>IF(G297="","",IF(AND(G297&gt;=D297,G297&lt;=F297),"Pass","Fail"))</f>
        <v>Pass</v>
      </c>
      <c r="J297" s="39" t="s">
        <v>247</v>
      </c>
      <c r="K297" s="40"/>
      <c r="L297" s="76"/>
      <c r="M297" s="76"/>
      <c r="N297" s="53"/>
      <c r="O297" s="58" t="s">
        <v>54</v>
      </c>
    </row>
    <row r="298" spans="1:15" s="22" customFormat="1" ht="26.25">
      <c r="A298" s="32">
        <f>SUBTOTAL(103,$B$2:B298)*1</f>
        <v>297</v>
      </c>
      <c r="B298" s="28" t="s">
        <v>521</v>
      </c>
      <c r="C298" s="23" t="s">
        <v>524</v>
      </c>
      <c r="D298" s="32">
        <v>-105000</v>
      </c>
      <c r="E298" s="35"/>
      <c r="F298" s="32">
        <v>-100000</v>
      </c>
      <c r="G298" s="37">
        <v>-100190.7</v>
      </c>
      <c r="H298" s="32" t="s">
        <v>83</v>
      </c>
      <c r="I298" s="38" t="str">
        <f>IF(G298="","",IF(AND(G298&gt;=D298,G298&lt;=F298),"Pass","Fail"))</f>
        <v>Pass</v>
      </c>
      <c r="J298" s="52" t="s">
        <v>247</v>
      </c>
      <c r="K298" s="40"/>
      <c r="L298" s="76"/>
      <c r="M298" s="76"/>
      <c r="N298" s="53"/>
      <c r="O298" s="58" t="s">
        <v>54</v>
      </c>
    </row>
    <row r="299" spans="1:15" s="22" customFormat="1" ht="26.25">
      <c r="A299" s="32">
        <f>SUBTOTAL(103,$B$2:B299)*1</f>
        <v>298</v>
      </c>
      <c r="B299" s="28" t="s">
        <v>521</v>
      </c>
      <c r="C299" s="23" t="s">
        <v>525</v>
      </c>
      <c r="D299" s="32">
        <v>200000</v>
      </c>
      <c r="E299" s="60"/>
      <c r="F299" s="32"/>
      <c r="G299" s="45">
        <v>201304.1</v>
      </c>
      <c r="H299" s="32" t="s">
        <v>83</v>
      </c>
      <c r="I299" s="38" t="str">
        <f>IF(G299="","",IF(AND(G299&gt;=D299),"Pass","Fail"))</f>
        <v>Pass</v>
      </c>
      <c r="J299" s="52" t="s">
        <v>247</v>
      </c>
      <c r="K299" s="40"/>
      <c r="L299" s="76"/>
      <c r="M299" s="76"/>
      <c r="N299" s="53"/>
      <c r="O299" s="58" t="s">
        <v>54</v>
      </c>
    </row>
    <row r="300" spans="1:15" s="22" customFormat="1" ht="26.25">
      <c r="A300" s="32">
        <f>SUBTOTAL(103,$B$2:B300)*1</f>
        <v>299</v>
      </c>
      <c r="B300" s="28" t="s">
        <v>521</v>
      </c>
      <c r="C300" s="23" t="s">
        <v>526</v>
      </c>
      <c r="D300" s="32">
        <v>100000</v>
      </c>
      <c r="E300" s="35"/>
      <c r="F300" s="32">
        <v>105000</v>
      </c>
      <c r="G300" s="92">
        <v>100664.3</v>
      </c>
      <c r="H300" s="32" t="s">
        <v>83</v>
      </c>
      <c r="I300" s="38" t="str">
        <f>IF(G300="","",IF(AND(G300&gt;=D300,G300&lt;=F300),"Pass","Fail"))</f>
        <v>Pass</v>
      </c>
      <c r="J300" s="39" t="s">
        <v>247</v>
      </c>
      <c r="K300" s="40"/>
      <c r="L300" s="76"/>
      <c r="M300" s="76"/>
      <c r="N300" s="53"/>
      <c r="O300" s="58" t="s">
        <v>54</v>
      </c>
    </row>
    <row r="301" spans="1:15" s="22" customFormat="1" ht="26.25">
      <c r="A301" s="32">
        <f>SUBTOTAL(103,$B$2:B301)*1</f>
        <v>300</v>
      </c>
      <c r="B301" s="28" t="s">
        <v>521</v>
      </c>
      <c r="C301" s="23" t="s">
        <v>527</v>
      </c>
      <c r="D301" s="32">
        <v>-105000</v>
      </c>
      <c r="E301" s="35"/>
      <c r="F301" s="32">
        <v>-100000</v>
      </c>
      <c r="G301" s="92">
        <v>-100585.9</v>
      </c>
      <c r="H301" s="32" t="s">
        <v>83</v>
      </c>
      <c r="I301" s="38" t="str">
        <f>IF(G301="","",IF(AND(G301&gt;=D301,G301&lt;=F301),"Pass","Fail"))</f>
        <v>Pass</v>
      </c>
      <c r="J301" s="39" t="s">
        <v>247</v>
      </c>
      <c r="K301" s="40"/>
      <c r="L301" s="76"/>
      <c r="M301" s="76"/>
      <c r="N301" s="53"/>
      <c r="O301" s="58" t="s">
        <v>54</v>
      </c>
    </row>
    <row r="302" spans="1:15" s="22" customFormat="1" ht="26.25">
      <c r="A302" s="32">
        <f>SUBTOTAL(103,$B$2:B302)*1</f>
        <v>301</v>
      </c>
      <c r="B302" s="23" t="s">
        <v>179</v>
      </c>
      <c r="C302" s="23" t="s">
        <v>416</v>
      </c>
      <c r="D302" s="32"/>
      <c r="E302" s="35" t="s">
        <v>48</v>
      </c>
      <c r="F302" s="32"/>
      <c r="G302" s="37" t="s">
        <v>48</v>
      </c>
      <c r="H302" s="32" t="s">
        <v>16</v>
      </c>
      <c r="I302" s="38" t="str">
        <f t="shared" ref="I302:I308" si="14">IF(G302="","",IF(G302=E302,"Pass","Fail"))</f>
        <v>Pass</v>
      </c>
      <c r="J302" s="39" t="s">
        <v>247</v>
      </c>
      <c r="K302" s="40"/>
      <c r="L302" s="52"/>
      <c r="M302" s="52"/>
      <c r="N302" s="53"/>
      <c r="O302" s="58" t="s">
        <v>54</v>
      </c>
    </row>
    <row r="303" spans="1:15" s="22" customFormat="1" ht="26.25">
      <c r="A303" s="32">
        <f>SUBTOTAL(103,$B$2:B303)*1</f>
        <v>302</v>
      </c>
      <c r="B303" s="23" t="s">
        <v>179</v>
      </c>
      <c r="C303" s="23" t="s">
        <v>417</v>
      </c>
      <c r="D303" s="32"/>
      <c r="E303" s="35" t="s">
        <v>48</v>
      </c>
      <c r="F303" s="32"/>
      <c r="G303" s="37" t="s">
        <v>48</v>
      </c>
      <c r="H303" s="32" t="s">
        <v>16</v>
      </c>
      <c r="I303" s="38" t="str">
        <f t="shared" si="14"/>
        <v>Pass</v>
      </c>
      <c r="J303" s="39" t="s">
        <v>247</v>
      </c>
      <c r="K303" s="40"/>
      <c r="L303" s="52"/>
      <c r="M303" s="52"/>
      <c r="N303" s="53"/>
      <c r="O303" s="58" t="s">
        <v>54</v>
      </c>
    </row>
    <row r="304" spans="1:15" s="22" customFormat="1" ht="26.25">
      <c r="A304" s="32">
        <f>SUBTOTAL(103,$B$2:B304)*1</f>
        <v>303</v>
      </c>
      <c r="B304" s="23" t="s">
        <v>179</v>
      </c>
      <c r="C304" s="23" t="s">
        <v>528</v>
      </c>
      <c r="D304" s="32"/>
      <c r="E304" s="35" t="s">
        <v>48</v>
      </c>
      <c r="F304" s="32"/>
      <c r="G304" s="37" t="s">
        <v>48</v>
      </c>
      <c r="H304" s="32" t="s">
        <v>16</v>
      </c>
      <c r="I304" s="38" t="str">
        <f t="shared" si="14"/>
        <v>Pass</v>
      </c>
      <c r="J304" s="39" t="s">
        <v>247</v>
      </c>
      <c r="K304" s="40"/>
      <c r="L304" s="52"/>
      <c r="M304" s="52"/>
      <c r="N304" s="46" t="s">
        <v>529</v>
      </c>
      <c r="O304" s="58" t="s">
        <v>54</v>
      </c>
    </row>
    <row r="305" spans="1:15" s="22" customFormat="1" ht="26.25">
      <c r="A305" s="32">
        <f>SUBTOTAL(103,$B$2:B305)*1</f>
        <v>304</v>
      </c>
      <c r="B305" s="23" t="s">
        <v>179</v>
      </c>
      <c r="C305" s="23" t="s">
        <v>412</v>
      </c>
      <c r="D305" s="32"/>
      <c r="E305" s="35" t="s">
        <v>48</v>
      </c>
      <c r="F305" s="32"/>
      <c r="G305" s="37" t="s">
        <v>48</v>
      </c>
      <c r="H305" s="32" t="s">
        <v>16</v>
      </c>
      <c r="I305" s="38" t="str">
        <f t="shared" si="14"/>
        <v>Pass</v>
      </c>
      <c r="J305" s="39" t="s">
        <v>247</v>
      </c>
      <c r="K305" s="40"/>
      <c r="L305" s="52"/>
      <c r="M305" s="52"/>
      <c r="N305" s="53"/>
      <c r="O305" s="58" t="s">
        <v>54</v>
      </c>
    </row>
    <row r="306" spans="1:15" s="22" customFormat="1" ht="26.25">
      <c r="A306" s="32">
        <f>SUBTOTAL(103,$B$2:B306)*1</f>
        <v>305</v>
      </c>
      <c r="B306" s="23" t="s">
        <v>179</v>
      </c>
      <c r="C306" s="23" t="s">
        <v>413</v>
      </c>
      <c r="D306" s="32"/>
      <c r="E306" s="35" t="s">
        <v>414</v>
      </c>
      <c r="F306" s="32"/>
      <c r="G306" s="37" t="s">
        <v>414</v>
      </c>
      <c r="H306" s="32" t="s">
        <v>16</v>
      </c>
      <c r="I306" s="38" t="str">
        <f t="shared" si="14"/>
        <v>Pass</v>
      </c>
      <c r="J306" s="39" t="s">
        <v>247</v>
      </c>
      <c r="K306" s="40"/>
      <c r="L306" s="52"/>
      <c r="M306" s="52"/>
      <c r="N306" s="46" t="s">
        <v>530</v>
      </c>
      <c r="O306" s="58" t="s">
        <v>54</v>
      </c>
    </row>
    <row r="307" spans="1:15" s="22" customFormat="1" ht="26.25">
      <c r="A307" s="32">
        <f>SUBTOTAL(103,$B$2:B307)*1</f>
        <v>306</v>
      </c>
      <c r="B307" s="23" t="s">
        <v>179</v>
      </c>
      <c r="C307" s="23" t="s">
        <v>421</v>
      </c>
      <c r="D307" s="32"/>
      <c r="E307" s="35" t="s">
        <v>422</v>
      </c>
      <c r="F307" s="32"/>
      <c r="G307" s="37" t="s">
        <v>422</v>
      </c>
      <c r="H307" s="32" t="s">
        <v>16</v>
      </c>
      <c r="I307" s="38" t="str">
        <f t="shared" si="14"/>
        <v>Pass</v>
      </c>
      <c r="J307" s="39" t="s">
        <v>247</v>
      </c>
      <c r="K307" s="40"/>
      <c r="L307" s="52"/>
      <c r="M307" s="52"/>
      <c r="N307" s="46" t="s">
        <v>423</v>
      </c>
      <c r="O307" s="58" t="s">
        <v>54</v>
      </c>
    </row>
    <row r="308" spans="1:15" s="22" customFormat="1" ht="26.25">
      <c r="A308" s="32">
        <f>SUBTOTAL(103,$B$2:B308)*1</f>
        <v>307</v>
      </c>
      <c r="B308" s="23" t="s">
        <v>179</v>
      </c>
      <c r="C308" s="61" t="s">
        <v>411</v>
      </c>
      <c r="D308" s="32"/>
      <c r="E308" s="35" t="s">
        <v>48</v>
      </c>
      <c r="F308" s="32"/>
      <c r="G308" s="37" t="s">
        <v>48</v>
      </c>
      <c r="H308" s="32" t="s">
        <v>16</v>
      </c>
      <c r="I308" s="38" t="str">
        <f t="shared" si="14"/>
        <v>Pass</v>
      </c>
      <c r="J308" s="39" t="s">
        <v>247</v>
      </c>
      <c r="K308" s="40"/>
      <c r="L308" s="52"/>
      <c r="M308" s="52"/>
      <c r="N308" s="53"/>
      <c r="O308" s="58" t="s">
        <v>54</v>
      </c>
    </row>
    <row r="309" spans="1:15" s="93" customFormat="1" ht="26.25">
      <c r="A309" s="32">
        <f>SUBTOTAL(103,$B$2:B309)*1</f>
        <v>308</v>
      </c>
      <c r="B309" s="23" t="s">
        <v>179</v>
      </c>
      <c r="C309" s="23" t="s">
        <v>418</v>
      </c>
      <c r="D309" s="32"/>
      <c r="E309" s="75" t="s">
        <v>531</v>
      </c>
      <c r="F309" s="32"/>
      <c r="G309" s="45">
        <v>12532</v>
      </c>
      <c r="H309" s="32" t="s">
        <v>83</v>
      </c>
      <c r="I309" s="38" t="s">
        <v>19</v>
      </c>
      <c r="J309" s="39" t="s">
        <v>247</v>
      </c>
      <c r="K309" s="40"/>
      <c r="L309" s="52"/>
      <c r="M309" s="52"/>
      <c r="N309" s="46" t="s">
        <v>532</v>
      </c>
      <c r="O309" s="58" t="s">
        <v>54</v>
      </c>
    </row>
    <row r="310" spans="1:15" s="93" customFormat="1" ht="26.25">
      <c r="A310" s="32">
        <f>SUBTOTAL(103,$B$2:B310)*1</f>
        <v>309</v>
      </c>
      <c r="B310" s="23" t="s">
        <v>179</v>
      </c>
      <c r="C310" s="23" t="s">
        <v>432</v>
      </c>
      <c r="D310" s="32"/>
      <c r="E310" s="35">
        <v>0.05</v>
      </c>
      <c r="F310" s="32"/>
      <c r="G310" s="37">
        <v>0.05</v>
      </c>
      <c r="H310" s="32" t="s">
        <v>83</v>
      </c>
      <c r="I310" s="38" t="str">
        <f>IF(G310="","",IF(G310=E310,"Pass","Fail"))</f>
        <v>Pass</v>
      </c>
      <c r="J310" s="39" t="s">
        <v>247</v>
      </c>
      <c r="K310" s="40"/>
      <c r="L310" s="52"/>
      <c r="M310" s="52"/>
      <c r="N310" s="46" t="s">
        <v>433</v>
      </c>
      <c r="O310" s="58" t="s">
        <v>54</v>
      </c>
    </row>
    <row r="311" spans="1:15" s="93" customFormat="1" ht="26.25">
      <c r="A311" s="32">
        <f>SUBTOTAL(103,$B$2:B311)*1</f>
        <v>310</v>
      </c>
      <c r="B311" s="23" t="s">
        <v>179</v>
      </c>
      <c r="C311" s="23" t="s">
        <v>424</v>
      </c>
      <c r="D311" s="32"/>
      <c r="E311" s="35">
        <v>29000</v>
      </c>
      <c r="F311" s="32"/>
      <c r="G311" s="37">
        <v>29000</v>
      </c>
      <c r="H311" s="32" t="s">
        <v>83</v>
      </c>
      <c r="I311" s="38" t="str">
        <f>IF(G311="","",IF(G311=E311,"Pass","Fail"))</f>
        <v>Pass</v>
      </c>
      <c r="J311" s="39" t="s">
        <v>247</v>
      </c>
      <c r="K311" s="40"/>
      <c r="L311" s="52"/>
      <c r="M311" s="52"/>
      <c r="N311" s="53"/>
      <c r="O311" s="58" t="s">
        <v>54</v>
      </c>
    </row>
    <row r="312" spans="1:15" s="93" customFormat="1" ht="26.25">
      <c r="A312" s="32">
        <f>SUBTOTAL(103,$B$2:B312)*1</f>
        <v>311</v>
      </c>
      <c r="B312" s="23" t="s">
        <v>179</v>
      </c>
      <c r="C312" s="23" t="s">
        <v>533</v>
      </c>
      <c r="D312" s="32"/>
      <c r="E312" s="35">
        <v>1</v>
      </c>
      <c r="F312" s="32"/>
      <c r="G312" s="37">
        <v>1</v>
      </c>
      <c r="H312" s="32" t="s">
        <v>16</v>
      </c>
      <c r="I312" s="38" t="str">
        <f>IF(G312="","",IF(G312=E312,"Pass","Fail"))</f>
        <v>Pass</v>
      </c>
      <c r="J312" s="39" t="s">
        <v>247</v>
      </c>
      <c r="K312" s="40"/>
      <c r="L312" s="52"/>
      <c r="M312" s="52"/>
      <c r="N312" s="46" t="s">
        <v>534</v>
      </c>
      <c r="O312" s="58" t="s">
        <v>54</v>
      </c>
    </row>
    <row r="313" spans="1:15" s="94" customFormat="1" ht="26.25">
      <c r="A313" s="32">
        <f>SUBTOTAL(103,$B$2:B313)*1</f>
        <v>312</v>
      </c>
      <c r="B313" s="23" t="s">
        <v>179</v>
      </c>
      <c r="C313" s="23" t="s">
        <v>535</v>
      </c>
      <c r="D313" s="32"/>
      <c r="E313" s="35">
        <v>0.15</v>
      </c>
      <c r="F313" s="32"/>
      <c r="G313" s="37">
        <v>0.15</v>
      </c>
      <c r="H313" s="32" t="s">
        <v>16</v>
      </c>
      <c r="I313" s="38" t="str">
        <f>IF(G313="","",IF(G313=E313,"Pass","Fail"))</f>
        <v>Pass</v>
      </c>
      <c r="J313" s="39" t="s">
        <v>247</v>
      </c>
      <c r="K313" s="40"/>
      <c r="L313" s="52"/>
      <c r="M313" s="52"/>
      <c r="N313" s="46" t="s">
        <v>534</v>
      </c>
      <c r="O313" s="58" t="s">
        <v>54</v>
      </c>
    </row>
    <row r="314" spans="1:15" s="94" customFormat="1" ht="26.25">
      <c r="A314" s="32">
        <f>SUBTOTAL(103,$B$2:B314)*1</f>
        <v>313</v>
      </c>
      <c r="B314" s="23" t="s">
        <v>179</v>
      </c>
      <c r="C314" s="23" t="s">
        <v>536</v>
      </c>
      <c r="D314" s="32">
        <v>12000</v>
      </c>
      <c r="E314" s="35"/>
      <c r="F314" s="32">
        <v>29000</v>
      </c>
      <c r="G314" s="37">
        <v>20000</v>
      </c>
      <c r="H314" s="32" t="s">
        <v>83</v>
      </c>
      <c r="I314" s="38" t="str">
        <f>IF(G314="","",IF(AND(G314&gt;=D314,G314&lt;=F314),"Pass","Fail"))</f>
        <v>Pass</v>
      </c>
      <c r="J314" s="39" t="s">
        <v>247</v>
      </c>
      <c r="K314" s="40"/>
      <c r="L314" s="52"/>
      <c r="M314" s="52"/>
      <c r="N314" s="46" t="s">
        <v>537</v>
      </c>
      <c r="O314" s="58" t="s">
        <v>54</v>
      </c>
    </row>
    <row r="315" spans="1:15" s="94" customFormat="1" ht="26.25">
      <c r="A315" s="32">
        <f>SUBTOTAL(103,$B$2:B315)*1</f>
        <v>314</v>
      </c>
      <c r="B315" s="23" t="s">
        <v>179</v>
      </c>
      <c r="C315" s="23" t="s">
        <v>538</v>
      </c>
      <c r="D315" s="32"/>
      <c r="E315" s="35" t="s">
        <v>539</v>
      </c>
      <c r="F315" s="32"/>
      <c r="G315" s="37" t="s">
        <v>539</v>
      </c>
      <c r="H315" s="32" t="s">
        <v>16</v>
      </c>
      <c r="I315" s="38" t="str">
        <f t="shared" ref="I315:I322" si="15">IF(G315="","",IF(G315=E315,"Pass","Fail"))</f>
        <v>Pass</v>
      </c>
      <c r="J315" s="39" t="s">
        <v>247</v>
      </c>
      <c r="K315" s="40"/>
      <c r="L315" s="52"/>
      <c r="M315" s="52"/>
      <c r="N315" s="53" t="s">
        <v>540</v>
      </c>
      <c r="O315" s="58" t="s">
        <v>54</v>
      </c>
    </row>
    <row r="316" spans="1:15" s="93" customFormat="1" ht="26.25">
      <c r="A316" s="32">
        <f>SUBTOTAL(103,$B$2:B316)*1</f>
        <v>315</v>
      </c>
      <c r="B316" s="23" t="s">
        <v>179</v>
      </c>
      <c r="C316" s="23" t="s">
        <v>541</v>
      </c>
      <c r="D316" s="32"/>
      <c r="E316" s="35" t="s">
        <v>48</v>
      </c>
      <c r="F316" s="32"/>
      <c r="G316" s="37" t="s">
        <v>48</v>
      </c>
      <c r="H316" s="32" t="s">
        <v>16</v>
      </c>
      <c r="I316" s="38" t="str">
        <f t="shared" si="15"/>
        <v>Pass</v>
      </c>
      <c r="J316" s="39" t="s">
        <v>247</v>
      </c>
      <c r="K316" s="40"/>
      <c r="L316" s="53"/>
      <c r="M316" s="53"/>
      <c r="N316" s="53"/>
      <c r="O316" s="58" t="s">
        <v>54</v>
      </c>
    </row>
    <row r="317" spans="1:15" s="93" customFormat="1" ht="26.25">
      <c r="A317" s="32">
        <f>SUBTOTAL(103,$B$2:B317)*1</f>
        <v>316</v>
      </c>
      <c r="B317" s="23" t="s">
        <v>542</v>
      </c>
      <c r="C317" s="23" t="s">
        <v>543</v>
      </c>
      <c r="D317" s="32"/>
      <c r="E317" s="35" t="s">
        <v>48</v>
      </c>
      <c r="F317" s="32"/>
      <c r="G317" s="37" t="s">
        <v>48</v>
      </c>
      <c r="H317" s="32" t="s">
        <v>16</v>
      </c>
      <c r="I317" s="38" t="str">
        <f t="shared" si="15"/>
        <v>Pass</v>
      </c>
      <c r="J317" s="39" t="s">
        <v>247</v>
      </c>
      <c r="K317" s="40"/>
      <c r="L317" s="52"/>
      <c r="M317" s="52"/>
      <c r="N317" s="53"/>
      <c r="O317" s="43"/>
    </row>
    <row r="318" spans="1:15" s="93" customFormat="1" ht="26.25">
      <c r="A318" s="32">
        <f>SUBTOTAL(103,$B$2:B318)*1</f>
        <v>317</v>
      </c>
      <c r="B318" s="23" t="s">
        <v>542</v>
      </c>
      <c r="C318" s="23" t="s">
        <v>544</v>
      </c>
      <c r="D318" s="32"/>
      <c r="E318" s="35" t="s">
        <v>48</v>
      </c>
      <c r="F318" s="32"/>
      <c r="G318" s="37" t="s">
        <v>48</v>
      </c>
      <c r="H318" s="32" t="s">
        <v>16</v>
      </c>
      <c r="I318" s="38" t="str">
        <f t="shared" si="15"/>
        <v>Pass</v>
      </c>
      <c r="J318" s="39" t="s">
        <v>247</v>
      </c>
      <c r="K318" s="40"/>
      <c r="L318" s="52"/>
      <c r="M318" s="52"/>
      <c r="N318" s="53"/>
      <c r="O318" s="43"/>
    </row>
    <row r="319" spans="1:15" s="93" customFormat="1" ht="26.25">
      <c r="A319" s="32">
        <f>SUBTOTAL(103,$B$2:B319)*1</f>
        <v>318</v>
      </c>
      <c r="B319" s="23" t="s">
        <v>542</v>
      </c>
      <c r="C319" s="23" t="s">
        <v>545</v>
      </c>
      <c r="D319" s="32"/>
      <c r="E319" s="35" t="s">
        <v>48</v>
      </c>
      <c r="F319" s="32"/>
      <c r="G319" s="37" t="s">
        <v>48</v>
      </c>
      <c r="H319" s="32" t="s">
        <v>16</v>
      </c>
      <c r="I319" s="38" t="str">
        <f t="shared" si="15"/>
        <v>Pass</v>
      </c>
      <c r="J319" s="39" t="s">
        <v>247</v>
      </c>
      <c r="K319" s="40"/>
      <c r="L319" s="52"/>
      <c r="M319" s="52"/>
      <c r="N319" s="53"/>
      <c r="O319" s="43"/>
    </row>
    <row r="320" spans="1:15" s="93" customFormat="1" ht="26.25">
      <c r="A320" s="32">
        <f>SUBTOTAL(103,$B$2:B320)*1</f>
        <v>319</v>
      </c>
      <c r="B320" s="23" t="s">
        <v>542</v>
      </c>
      <c r="C320" s="23" t="s">
        <v>546</v>
      </c>
      <c r="D320" s="32"/>
      <c r="E320" s="35" t="s">
        <v>48</v>
      </c>
      <c r="F320" s="32"/>
      <c r="G320" s="37" t="s">
        <v>48</v>
      </c>
      <c r="H320" s="32" t="s">
        <v>16</v>
      </c>
      <c r="I320" s="38" t="str">
        <f t="shared" si="15"/>
        <v>Pass</v>
      </c>
      <c r="J320" s="39" t="s">
        <v>247</v>
      </c>
      <c r="K320" s="40"/>
      <c r="L320" s="52"/>
      <c r="M320" s="52"/>
      <c r="N320" s="53"/>
      <c r="O320" s="43" t="s">
        <v>54</v>
      </c>
    </row>
    <row r="321" spans="1:15" s="93" customFormat="1" ht="26.25">
      <c r="A321" s="32">
        <f>SUBTOTAL(103,$B$2:B321)*1</f>
        <v>320</v>
      </c>
      <c r="B321" s="23" t="s">
        <v>542</v>
      </c>
      <c r="C321" s="23" t="s">
        <v>547</v>
      </c>
      <c r="D321" s="32"/>
      <c r="E321" s="35" t="s">
        <v>48</v>
      </c>
      <c r="F321" s="32"/>
      <c r="G321" s="37" t="s">
        <v>48</v>
      </c>
      <c r="H321" s="32" t="s">
        <v>16</v>
      </c>
      <c r="I321" s="38" t="str">
        <f t="shared" si="15"/>
        <v>Pass</v>
      </c>
      <c r="J321" s="39" t="s">
        <v>247</v>
      </c>
      <c r="K321" s="40"/>
      <c r="L321" s="52"/>
      <c r="M321" s="52"/>
      <c r="N321" s="53"/>
      <c r="O321" s="43" t="s">
        <v>54</v>
      </c>
    </row>
    <row r="322" spans="1:15" s="93" customFormat="1" ht="26.25">
      <c r="A322" s="32">
        <f>SUBTOTAL(103,$B$2:B322)*1</f>
        <v>321</v>
      </c>
      <c r="B322" s="23" t="s">
        <v>542</v>
      </c>
      <c r="C322" s="23" t="s">
        <v>548</v>
      </c>
      <c r="D322" s="32"/>
      <c r="E322" s="35" t="s">
        <v>48</v>
      </c>
      <c r="F322" s="32"/>
      <c r="G322" s="37" t="s">
        <v>48</v>
      </c>
      <c r="H322" s="32" t="s">
        <v>16</v>
      </c>
      <c r="I322" s="38" t="str">
        <f t="shared" si="15"/>
        <v>Pass</v>
      </c>
      <c r="J322" s="39" t="s">
        <v>247</v>
      </c>
      <c r="K322" s="40"/>
      <c r="L322" s="52"/>
      <c r="M322" s="52"/>
      <c r="N322" s="53"/>
      <c r="O322" s="43" t="s">
        <v>54</v>
      </c>
    </row>
    <row r="323" spans="1:15" s="93" customFormat="1" ht="26.25">
      <c r="A323" s="32">
        <f>SUBTOTAL(103,$B$2:B323)*1</f>
        <v>322</v>
      </c>
      <c r="B323" s="23" t="s">
        <v>542</v>
      </c>
      <c r="C323" s="61" t="s">
        <v>549</v>
      </c>
      <c r="D323" s="32"/>
      <c r="E323" s="35" t="s">
        <v>100</v>
      </c>
      <c r="F323" s="75"/>
      <c r="G323" s="45" t="s">
        <v>100</v>
      </c>
      <c r="H323" s="32"/>
      <c r="I323" s="38" t="s">
        <v>19</v>
      </c>
      <c r="J323" s="39" t="s">
        <v>247</v>
      </c>
      <c r="K323" s="40"/>
      <c r="L323" s="53"/>
      <c r="M323" s="53"/>
      <c r="N323" s="46" t="s">
        <v>550</v>
      </c>
      <c r="O323" s="43" t="s">
        <v>54</v>
      </c>
    </row>
    <row r="324" spans="1:15" s="93" customFormat="1" ht="26.25">
      <c r="A324" s="32">
        <f>SUBTOTAL(103,$B$2:B324)*1</f>
        <v>323</v>
      </c>
      <c r="B324" s="23" t="s">
        <v>185</v>
      </c>
      <c r="C324" s="23" t="s">
        <v>551</v>
      </c>
      <c r="D324" s="32"/>
      <c r="E324" s="35" t="s">
        <v>48</v>
      </c>
      <c r="F324" s="32"/>
      <c r="G324" s="37" t="s">
        <v>48</v>
      </c>
      <c r="H324" s="49" t="s">
        <v>16</v>
      </c>
      <c r="I324" s="38" t="s">
        <v>19</v>
      </c>
      <c r="J324" s="39" t="s">
        <v>247</v>
      </c>
      <c r="K324" s="40"/>
      <c r="L324" s="52"/>
      <c r="M324" s="52"/>
      <c r="N324" s="46" t="s">
        <v>552</v>
      </c>
      <c r="O324" s="43"/>
    </row>
    <row r="325" spans="1:15" s="93" customFormat="1" ht="26.25">
      <c r="A325" s="32">
        <f>SUBTOTAL(103,$B$2:B325)*1</f>
        <v>324</v>
      </c>
      <c r="B325" s="23" t="s">
        <v>185</v>
      </c>
      <c r="C325" s="23" t="s">
        <v>553</v>
      </c>
      <c r="D325" s="32"/>
      <c r="E325" s="35" t="s">
        <v>48</v>
      </c>
      <c r="F325" s="32"/>
      <c r="G325" s="37" t="s">
        <v>48</v>
      </c>
      <c r="H325" s="32" t="s">
        <v>16</v>
      </c>
      <c r="I325" s="38" t="s">
        <v>19</v>
      </c>
      <c r="J325" s="39" t="s">
        <v>247</v>
      </c>
      <c r="K325" s="40"/>
      <c r="L325" s="52"/>
      <c r="M325" s="52"/>
      <c r="N325" s="53"/>
      <c r="O325" s="43"/>
    </row>
    <row r="326" spans="1:15" s="93" customFormat="1" ht="26.25">
      <c r="A326" s="32">
        <f>SUBTOTAL(103,$B$2:B326)*1</f>
        <v>325</v>
      </c>
      <c r="B326" s="23" t="s">
        <v>185</v>
      </c>
      <c r="C326" s="23" t="s">
        <v>554</v>
      </c>
      <c r="D326" s="32"/>
      <c r="E326" s="35" t="s">
        <v>48</v>
      </c>
      <c r="F326" s="32"/>
      <c r="G326" s="37" t="s">
        <v>48</v>
      </c>
      <c r="H326" s="32" t="s">
        <v>16</v>
      </c>
      <c r="I326" s="38" t="s">
        <v>19</v>
      </c>
      <c r="J326" s="39" t="s">
        <v>247</v>
      </c>
      <c r="K326" s="40"/>
      <c r="L326" s="52"/>
      <c r="M326" s="52"/>
      <c r="N326" s="53"/>
      <c r="O326" s="43"/>
    </row>
    <row r="327" spans="1:15" s="93" customFormat="1" ht="26.25">
      <c r="A327" s="32">
        <f>SUBTOTAL(103,$B$2:B327)*1</f>
        <v>326</v>
      </c>
      <c r="B327" s="28" t="s">
        <v>185</v>
      </c>
      <c r="C327" s="23" t="s">
        <v>555</v>
      </c>
      <c r="D327" s="32"/>
      <c r="E327" s="35" t="s">
        <v>48</v>
      </c>
      <c r="F327" s="32"/>
      <c r="G327" s="37" t="s">
        <v>48</v>
      </c>
      <c r="H327" s="32" t="s">
        <v>16</v>
      </c>
      <c r="I327" s="38" t="s">
        <v>19</v>
      </c>
      <c r="J327" s="39" t="s">
        <v>247</v>
      </c>
      <c r="K327" s="40"/>
      <c r="L327" s="52"/>
      <c r="M327" s="52"/>
      <c r="N327" s="53"/>
      <c r="O327" s="43"/>
    </row>
    <row r="328" spans="1:15" s="93" customFormat="1" ht="26.25">
      <c r="A328" s="32">
        <f>SUBTOTAL(103,$B$2:B328)*1</f>
        <v>327</v>
      </c>
      <c r="B328" s="28" t="s">
        <v>185</v>
      </c>
      <c r="C328" s="51" t="s">
        <v>556</v>
      </c>
      <c r="D328" s="32"/>
      <c r="E328" s="35" t="s">
        <v>48</v>
      </c>
      <c r="F328" s="32"/>
      <c r="G328" s="37" t="s">
        <v>48</v>
      </c>
      <c r="H328" s="32" t="s">
        <v>16</v>
      </c>
      <c r="I328" s="38" t="s">
        <v>19</v>
      </c>
      <c r="J328" s="39" t="s">
        <v>247</v>
      </c>
      <c r="K328" s="40"/>
      <c r="L328" s="52"/>
      <c r="M328" s="52"/>
      <c r="N328" s="46" t="s">
        <v>557</v>
      </c>
      <c r="O328" s="95"/>
    </row>
    <row r="329" spans="1:15" s="22" customFormat="1" ht="23.25">
      <c r="A329" s="32">
        <f>SUBTOTAL(103,$B$2:B329)*1</f>
        <v>328</v>
      </c>
      <c r="B329" s="28" t="s">
        <v>185</v>
      </c>
      <c r="C329" s="51" t="s">
        <v>558</v>
      </c>
      <c r="D329" s="32"/>
      <c r="E329" s="35" t="s">
        <v>48</v>
      </c>
      <c r="F329" s="32"/>
      <c r="G329" s="37" t="s">
        <v>48</v>
      </c>
      <c r="H329" s="32" t="s">
        <v>16</v>
      </c>
      <c r="I329" s="38" t="s">
        <v>19</v>
      </c>
      <c r="J329" s="56" t="s">
        <v>247</v>
      </c>
      <c r="K329" s="90"/>
      <c r="L329" s="91"/>
      <c r="M329" s="91"/>
      <c r="N329" s="76"/>
      <c r="O329" s="95"/>
    </row>
    <row r="330" spans="1:15" s="22" customFormat="1" ht="26.25">
      <c r="A330" s="32">
        <f>SUBTOTAL(103,$B$2:B330)*1</f>
        <v>329</v>
      </c>
      <c r="B330" s="28" t="s">
        <v>185</v>
      </c>
      <c r="C330" s="51" t="s">
        <v>559</v>
      </c>
      <c r="D330" s="32"/>
      <c r="E330" s="35" t="s">
        <v>48</v>
      </c>
      <c r="F330" s="32"/>
      <c r="G330" s="37" t="s">
        <v>48</v>
      </c>
      <c r="H330" s="32" t="s">
        <v>16</v>
      </c>
      <c r="I330" s="38" t="s">
        <v>19</v>
      </c>
      <c r="J330" s="56" t="s">
        <v>247</v>
      </c>
      <c r="K330" s="90"/>
      <c r="L330" s="91"/>
      <c r="M330" s="91"/>
      <c r="N330" s="53"/>
      <c r="O330" s="95"/>
    </row>
    <row r="331" spans="1:15" s="93" customFormat="1" ht="23.25">
      <c r="A331" s="32">
        <f>SUBTOTAL(103,$B$2:B331)*1</f>
        <v>330</v>
      </c>
      <c r="B331" s="28" t="s">
        <v>185</v>
      </c>
      <c r="C331" s="51" t="s">
        <v>560</v>
      </c>
      <c r="D331" s="32"/>
      <c r="E331" s="35" t="s">
        <v>48</v>
      </c>
      <c r="F331" s="32"/>
      <c r="G331" s="37" t="s">
        <v>48</v>
      </c>
      <c r="H331" s="32" t="s">
        <v>16</v>
      </c>
      <c r="I331" s="38" t="s">
        <v>19</v>
      </c>
      <c r="J331" s="56" t="s">
        <v>247</v>
      </c>
      <c r="K331" s="90"/>
      <c r="L331" s="91"/>
      <c r="M331" s="91"/>
      <c r="N331" s="76"/>
      <c r="O331" s="43"/>
    </row>
    <row r="332" spans="1:15" s="93" customFormat="1" ht="26.25">
      <c r="A332" s="32">
        <f>SUBTOTAL(103,$B$2:B332)*1</f>
        <v>331</v>
      </c>
      <c r="B332" s="23" t="s">
        <v>185</v>
      </c>
      <c r="C332" s="51" t="s">
        <v>561</v>
      </c>
      <c r="D332" s="32"/>
      <c r="E332" s="35">
        <v>7</v>
      </c>
      <c r="F332" s="32"/>
      <c r="G332" s="37">
        <v>7</v>
      </c>
      <c r="H332" s="32" t="s">
        <v>562</v>
      </c>
      <c r="I332" s="38" t="s">
        <v>19</v>
      </c>
      <c r="J332" s="56" t="s">
        <v>247</v>
      </c>
      <c r="K332" s="90"/>
      <c r="L332" s="91"/>
      <c r="M332" s="91"/>
      <c r="N332" s="76" t="s">
        <v>563</v>
      </c>
      <c r="O332" s="43"/>
    </row>
    <row r="333" spans="1:15" s="93" customFormat="1" ht="26.25">
      <c r="A333" s="32">
        <f>SUBTOTAL(103,$B$2:B333)*1</f>
        <v>332</v>
      </c>
      <c r="B333" s="28" t="s">
        <v>185</v>
      </c>
      <c r="C333" s="23" t="s">
        <v>564</v>
      </c>
      <c r="D333" s="32"/>
      <c r="E333" s="35" t="s">
        <v>48</v>
      </c>
      <c r="F333" s="32"/>
      <c r="G333" s="37" t="s">
        <v>48</v>
      </c>
      <c r="H333" s="32" t="s">
        <v>16</v>
      </c>
      <c r="I333" s="38" t="s">
        <v>19</v>
      </c>
      <c r="J333" s="39" t="s">
        <v>247</v>
      </c>
      <c r="K333" s="40"/>
      <c r="L333" s="52"/>
      <c r="M333" s="52"/>
      <c r="N333" s="53"/>
      <c r="O333" s="43"/>
    </row>
    <row r="334" spans="1:15" s="22" customFormat="1" ht="26.25">
      <c r="A334" s="32">
        <f>SUBTOTAL(103,$B$2:B334)*1</f>
        <v>333</v>
      </c>
      <c r="B334" s="23" t="s">
        <v>185</v>
      </c>
      <c r="C334" s="23" t="s">
        <v>565</v>
      </c>
      <c r="D334" s="32"/>
      <c r="E334" s="35" t="s">
        <v>48</v>
      </c>
      <c r="F334" s="32"/>
      <c r="G334" s="37" t="s">
        <v>48</v>
      </c>
      <c r="H334" s="32" t="s">
        <v>16</v>
      </c>
      <c r="I334" s="38" t="s">
        <v>19</v>
      </c>
      <c r="J334" s="39" t="s">
        <v>247</v>
      </c>
      <c r="K334" s="40"/>
      <c r="L334" s="52"/>
      <c r="M334" s="52"/>
      <c r="N334" s="53"/>
      <c r="O334" s="43"/>
    </row>
    <row r="335" spans="1:15" s="93" customFormat="1" ht="26.25">
      <c r="A335" s="32">
        <f>SUBTOTAL(103,$B$2:B335)*1</f>
        <v>334</v>
      </c>
      <c r="B335" s="28" t="s">
        <v>185</v>
      </c>
      <c r="C335" s="23" t="s">
        <v>566</v>
      </c>
      <c r="D335" s="32"/>
      <c r="E335" s="35" t="s">
        <v>100</v>
      </c>
      <c r="F335" s="32"/>
      <c r="G335" s="37" t="s">
        <v>100</v>
      </c>
      <c r="H335" s="32" t="s">
        <v>16</v>
      </c>
      <c r="I335" s="38" t="s">
        <v>19</v>
      </c>
      <c r="J335" s="39" t="s">
        <v>247</v>
      </c>
      <c r="K335" s="40"/>
      <c r="L335" s="52"/>
      <c r="M335" s="52"/>
      <c r="N335" s="46" t="s">
        <v>567</v>
      </c>
      <c r="O335" s="43"/>
    </row>
    <row r="336" spans="1:15" s="93" customFormat="1" ht="26.25">
      <c r="A336" s="32">
        <f>SUBTOTAL(103,$B$2:B336)*1</f>
        <v>335</v>
      </c>
      <c r="B336" s="28" t="s">
        <v>185</v>
      </c>
      <c r="C336" s="23" t="s">
        <v>568</v>
      </c>
      <c r="D336" s="32"/>
      <c r="E336" s="35" t="s">
        <v>100</v>
      </c>
      <c r="F336" s="32"/>
      <c r="G336" s="37" t="s">
        <v>100</v>
      </c>
      <c r="H336" s="32" t="s">
        <v>16</v>
      </c>
      <c r="I336" s="38" t="s">
        <v>19</v>
      </c>
      <c r="J336" s="39" t="s">
        <v>247</v>
      </c>
      <c r="K336" s="40"/>
      <c r="L336" s="52"/>
      <c r="M336" s="52"/>
      <c r="N336" s="46" t="s">
        <v>569</v>
      </c>
      <c r="O336" s="43"/>
    </row>
    <row r="337" spans="1:15" s="93" customFormat="1" ht="23.25">
      <c r="A337" s="32">
        <f>SUBTOTAL(103,$B$2:B337)*1</f>
        <v>336</v>
      </c>
      <c r="B337" s="28" t="s">
        <v>185</v>
      </c>
      <c r="C337" s="51" t="s">
        <v>570</v>
      </c>
      <c r="D337" s="32">
        <v>0.4</v>
      </c>
      <c r="E337" s="35"/>
      <c r="F337" s="32">
        <v>0.6</v>
      </c>
      <c r="G337" s="37">
        <v>0.48</v>
      </c>
      <c r="H337" s="32" t="s">
        <v>571</v>
      </c>
      <c r="I337" s="38" t="s">
        <v>19</v>
      </c>
      <c r="J337" s="56" t="s">
        <v>247</v>
      </c>
      <c r="K337" s="90"/>
      <c r="L337" s="91"/>
      <c r="M337" s="91"/>
      <c r="N337" s="76"/>
      <c r="O337" s="43"/>
    </row>
    <row r="338" spans="1:15" s="100" customFormat="1" ht="23.25">
      <c r="A338" s="32">
        <f>SUBTOTAL(103,$B$2:B338)*1</f>
        <v>337</v>
      </c>
      <c r="B338" s="96" t="s">
        <v>185</v>
      </c>
      <c r="C338" s="33" t="s">
        <v>572</v>
      </c>
      <c r="D338" s="97">
        <v>-90</v>
      </c>
      <c r="E338" s="35"/>
      <c r="F338" s="75">
        <v>-60</v>
      </c>
      <c r="G338" s="45">
        <v>-74</v>
      </c>
      <c r="H338" s="75" t="s">
        <v>573</v>
      </c>
      <c r="I338" s="77" t="s">
        <v>19</v>
      </c>
      <c r="J338" s="98" t="s">
        <v>247</v>
      </c>
      <c r="K338" s="90"/>
      <c r="L338" s="99"/>
      <c r="M338" s="99"/>
      <c r="N338" s="76"/>
      <c r="O338" s="43"/>
    </row>
    <row r="339" spans="1:15" s="100" customFormat="1" ht="26.25">
      <c r="A339" s="32">
        <f>SUBTOTAL(103,$B$2:B339)*1</f>
        <v>338</v>
      </c>
      <c r="B339" s="28" t="s">
        <v>185</v>
      </c>
      <c r="C339" s="51" t="s">
        <v>574</v>
      </c>
      <c r="D339" s="32"/>
      <c r="E339" s="35"/>
      <c r="F339" s="32"/>
      <c r="G339" s="37" t="s">
        <v>575</v>
      </c>
      <c r="H339" s="32" t="s">
        <v>267</v>
      </c>
      <c r="I339" s="38" t="s">
        <v>19</v>
      </c>
      <c r="J339" s="56" t="s">
        <v>247</v>
      </c>
      <c r="K339" s="90"/>
      <c r="L339" s="91"/>
      <c r="M339" s="91"/>
      <c r="N339" s="76" t="s">
        <v>576</v>
      </c>
      <c r="O339" s="43"/>
    </row>
    <row r="340" spans="1:15" s="93" customFormat="1" ht="23.25">
      <c r="A340" s="32">
        <f>SUBTOTAL(103,$B$2:B340)*1</f>
        <v>339</v>
      </c>
      <c r="B340" s="28" t="s">
        <v>185</v>
      </c>
      <c r="C340" s="51" t="s">
        <v>577</v>
      </c>
      <c r="D340" s="32"/>
      <c r="E340" s="35" t="s">
        <v>48</v>
      </c>
      <c r="F340" s="32"/>
      <c r="G340" s="37" t="s">
        <v>48</v>
      </c>
      <c r="H340" s="32" t="s">
        <v>16</v>
      </c>
      <c r="I340" s="38" t="s">
        <v>19</v>
      </c>
      <c r="J340" s="39" t="s">
        <v>247</v>
      </c>
      <c r="K340" s="40"/>
      <c r="L340" s="52"/>
      <c r="M340" s="52"/>
      <c r="N340" s="46" t="s">
        <v>578</v>
      </c>
      <c r="O340" s="43"/>
    </row>
    <row r="341" spans="1:15" s="93" customFormat="1" ht="26.25">
      <c r="A341" s="32">
        <f>SUBTOTAL(103,$B$2:B341)*1</f>
        <v>340</v>
      </c>
      <c r="B341" s="28" t="s">
        <v>185</v>
      </c>
      <c r="C341" s="51" t="s">
        <v>579</v>
      </c>
      <c r="D341" s="32"/>
      <c r="E341" s="35" t="s">
        <v>48</v>
      </c>
      <c r="F341" s="32"/>
      <c r="G341" s="37" t="s">
        <v>48</v>
      </c>
      <c r="H341" s="32" t="s">
        <v>16</v>
      </c>
      <c r="I341" s="38" t="s">
        <v>19</v>
      </c>
      <c r="J341" s="39" t="s">
        <v>247</v>
      </c>
      <c r="K341" s="40"/>
      <c r="L341" s="52"/>
      <c r="M341" s="52"/>
      <c r="N341" s="53" t="s">
        <v>580</v>
      </c>
      <c r="O341" s="43"/>
    </row>
    <row r="342" spans="1:15" s="93" customFormat="1" ht="26.25">
      <c r="A342" s="32">
        <f>SUBTOTAL(103,$B$2:B342)*1</f>
        <v>341</v>
      </c>
      <c r="B342" s="28" t="s">
        <v>185</v>
      </c>
      <c r="C342" s="51" t="s">
        <v>581</v>
      </c>
      <c r="D342" s="34"/>
      <c r="E342" s="35"/>
      <c r="F342" s="34"/>
      <c r="G342" s="37">
        <v>0.13200000000000001</v>
      </c>
      <c r="H342" s="32" t="s">
        <v>118</v>
      </c>
      <c r="I342" s="38" t="s">
        <v>19</v>
      </c>
      <c r="J342" s="39" t="s">
        <v>247</v>
      </c>
      <c r="K342" s="40"/>
      <c r="L342" s="52"/>
      <c r="M342" s="52"/>
      <c r="N342" s="53" t="s">
        <v>582</v>
      </c>
      <c r="O342" s="43"/>
    </row>
    <row r="343" spans="1:15" s="93" customFormat="1" ht="26.25">
      <c r="A343" s="32">
        <f>SUBTOTAL(103,$B$2:B343)*1</f>
        <v>342</v>
      </c>
      <c r="B343" s="96" t="s">
        <v>185</v>
      </c>
      <c r="C343" s="33" t="s">
        <v>583</v>
      </c>
      <c r="D343" s="97"/>
      <c r="E343" s="35"/>
      <c r="F343" s="97"/>
      <c r="G343" s="37">
        <v>-3.5000000000000003E-2</v>
      </c>
      <c r="H343" s="75" t="s">
        <v>118</v>
      </c>
      <c r="I343" s="77" t="s">
        <v>19</v>
      </c>
      <c r="J343" s="98" t="s">
        <v>247</v>
      </c>
      <c r="K343" s="90"/>
      <c r="L343" s="99"/>
      <c r="M343" s="99"/>
      <c r="N343" s="53" t="s">
        <v>582</v>
      </c>
      <c r="O343" s="43"/>
    </row>
    <row r="344" spans="1:15" s="93" customFormat="1" ht="26.25">
      <c r="A344" s="32">
        <f>SUBTOTAL(103,$B$2:B344)*1</f>
        <v>343</v>
      </c>
      <c r="B344" s="61" t="s">
        <v>185</v>
      </c>
      <c r="C344" s="33" t="s">
        <v>584</v>
      </c>
      <c r="D344" s="101">
        <v>-0.1</v>
      </c>
      <c r="E344" s="35"/>
      <c r="F344" s="101">
        <v>0.1</v>
      </c>
      <c r="G344" s="48">
        <v>-0.01</v>
      </c>
      <c r="H344" s="75" t="s">
        <v>118</v>
      </c>
      <c r="I344" s="77" t="s">
        <v>19</v>
      </c>
      <c r="J344" s="98" t="s">
        <v>247</v>
      </c>
      <c r="K344" s="90"/>
      <c r="L344" s="99"/>
      <c r="M344" s="99"/>
      <c r="N344" s="53" t="s">
        <v>585</v>
      </c>
      <c r="O344" s="102"/>
    </row>
    <row r="345" spans="1:15" s="93" customFormat="1" ht="26.25">
      <c r="A345" s="32">
        <f>SUBTOTAL(103,$B$2:B345)*1</f>
        <v>344</v>
      </c>
      <c r="B345" s="61" t="s">
        <v>185</v>
      </c>
      <c r="C345" s="33" t="s">
        <v>586</v>
      </c>
      <c r="D345" s="101">
        <v>-0.1</v>
      </c>
      <c r="E345" s="35"/>
      <c r="F345" s="101">
        <v>0.1</v>
      </c>
      <c r="G345" s="48">
        <v>0.01</v>
      </c>
      <c r="H345" s="75" t="s">
        <v>118</v>
      </c>
      <c r="I345" s="77" t="s">
        <v>19</v>
      </c>
      <c r="J345" s="98" t="s">
        <v>247</v>
      </c>
      <c r="K345" s="90"/>
      <c r="L345" s="99"/>
      <c r="M345" s="99"/>
      <c r="N345" s="53" t="s">
        <v>585</v>
      </c>
      <c r="O345" s="102"/>
    </row>
    <row r="346" spans="1:15" s="93" customFormat="1" ht="26.25">
      <c r="A346" s="32">
        <f>SUBTOTAL(103,$B$2:B346)*1</f>
        <v>345</v>
      </c>
      <c r="B346" s="61" t="s">
        <v>185</v>
      </c>
      <c r="C346" s="33" t="s">
        <v>587</v>
      </c>
      <c r="D346" s="97">
        <v>-0.15</v>
      </c>
      <c r="E346" s="35"/>
      <c r="F346" s="97">
        <v>0.15</v>
      </c>
      <c r="G346" s="48">
        <v>0.09</v>
      </c>
      <c r="H346" s="75" t="s">
        <v>118</v>
      </c>
      <c r="I346" s="77" t="s">
        <v>19</v>
      </c>
      <c r="J346" s="98" t="s">
        <v>247</v>
      </c>
      <c r="K346" s="90"/>
      <c r="L346" s="99"/>
      <c r="M346" s="99"/>
      <c r="N346" s="53" t="s">
        <v>588</v>
      </c>
      <c r="O346" s="43"/>
    </row>
    <row r="347" spans="1:15" s="93" customFormat="1" ht="26.25">
      <c r="A347" s="32">
        <f>SUBTOTAL(103,$B$2:B347)*1</f>
        <v>346</v>
      </c>
      <c r="B347" s="61" t="s">
        <v>185</v>
      </c>
      <c r="C347" s="33" t="s">
        <v>589</v>
      </c>
      <c r="D347" s="97">
        <v>-0.15</v>
      </c>
      <c r="E347" s="35"/>
      <c r="F347" s="97">
        <v>0.15</v>
      </c>
      <c r="G347" s="48">
        <v>-0.06</v>
      </c>
      <c r="H347" s="75" t="s">
        <v>118</v>
      </c>
      <c r="I347" s="77" t="s">
        <v>19</v>
      </c>
      <c r="J347" s="98" t="s">
        <v>247</v>
      </c>
      <c r="K347" s="90"/>
      <c r="L347" s="99"/>
      <c r="M347" s="99"/>
      <c r="N347" s="53" t="s">
        <v>588</v>
      </c>
      <c r="O347" s="43"/>
    </row>
    <row r="348" spans="1:15" s="93" customFormat="1" ht="26.25">
      <c r="A348" s="32">
        <f>SUBTOTAL(103,$B$2:B348)*1</f>
        <v>347</v>
      </c>
      <c r="B348" s="28" t="s">
        <v>185</v>
      </c>
      <c r="C348" s="51" t="s">
        <v>590</v>
      </c>
      <c r="D348" s="32"/>
      <c r="E348" s="35" t="s">
        <v>100</v>
      </c>
      <c r="F348" s="32"/>
      <c r="G348" s="37" t="s">
        <v>100</v>
      </c>
      <c r="H348" s="32" t="s">
        <v>332</v>
      </c>
      <c r="I348" s="77" t="s">
        <v>19</v>
      </c>
      <c r="J348" s="39" t="s">
        <v>247</v>
      </c>
      <c r="K348" s="40"/>
      <c r="L348" s="52"/>
      <c r="M348" s="52"/>
      <c r="N348" s="46" t="s">
        <v>591</v>
      </c>
      <c r="O348" s="43"/>
    </row>
    <row r="349" spans="1:15" s="22" customFormat="1" ht="26.25">
      <c r="A349" s="32">
        <f>SUBTOTAL(103,$B$2:B349)*1</f>
        <v>348</v>
      </c>
      <c r="B349" s="28" t="s">
        <v>185</v>
      </c>
      <c r="C349" s="51" t="s">
        <v>592</v>
      </c>
      <c r="D349" s="32"/>
      <c r="E349" s="35" t="s">
        <v>100</v>
      </c>
      <c r="F349" s="32"/>
      <c r="G349" s="37" t="s">
        <v>100</v>
      </c>
      <c r="H349" s="32" t="s">
        <v>332</v>
      </c>
      <c r="I349" s="77" t="s">
        <v>19</v>
      </c>
      <c r="J349" s="39" t="s">
        <v>247</v>
      </c>
      <c r="K349" s="40"/>
      <c r="L349" s="52"/>
      <c r="M349" s="52"/>
      <c r="N349" s="46" t="s">
        <v>591</v>
      </c>
      <c r="O349" s="43"/>
    </row>
    <row r="350" spans="1:15" s="22" customFormat="1" ht="26.25">
      <c r="A350" s="22">
        <v>347</v>
      </c>
      <c r="B350" s="28" t="s">
        <v>185</v>
      </c>
      <c r="C350" s="51" t="s">
        <v>593</v>
      </c>
      <c r="D350" s="32"/>
      <c r="E350" s="35">
        <v>5</v>
      </c>
      <c r="F350" s="32"/>
      <c r="G350" s="37">
        <v>5</v>
      </c>
      <c r="H350" s="32" t="s">
        <v>16</v>
      </c>
      <c r="I350" s="38" t="s">
        <v>19</v>
      </c>
      <c r="J350" s="39" t="s">
        <v>247</v>
      </c>
      <c r="K350" s="40"/>
      <c r="L350" s="52"/>
      <c r="M350" s="52"/>
      <c r="N350" s="53"/>
      <c r="O350" s="43"/>
    </row>
    <row r="351" spans="1:15" s="22" customFormat="1" ht="26.25">
      <c r="A351" s="32">
        <f>SUBTOTAL(103,$B$2:B351)*1</f>
        <v>350</v>
      </c>
      <c r="B351" s="28" t="s">
        <v>192</v>
      </c>
      <c r="C351" s="51" t="s">
        <v>594</v>
      </c>
      <c r="D351" s="32"/>
      <c r="E351" s="35">
        <v>6</v>
      </c>
      <c r="F351" s="32"/>
      <c r="G351" s="37">
        <v>6</v>
      </c>
      <c r="H351" s="32" t="s">
        <v>16</v>
      </c>
      <c r="I351" s="38" t="str">
        <f>IF(G351="","",IF(G351=E351,"Pass","Fail"))</f>
        <v>Pass</v>
      </c>
      <c r="J351" s="39" t="s">
        <v>247</v>
      </c>
      <c r="K351" s="40"/>
      <c r="L351" s="52"/>
      <c r="M351" s="52"/>
      <c r="N351" s="53"/>
      <c r="O351" s="43"/>
    </row>
    <row r="352" spans="1:15" s="22" customFormat="1" ht="26.25">
      <c r="A352" s="32">
        <f>SUBTOTAL(103,$B$2:B352)*1</f>
        <v>351</v>
      </c>
      <c r="B352" s="28" t="s">
        <v>192</v>
      </c>
      <c r="C352" s="51" t="s">
        <v>595</v>
      </c>
      <c r="D352" s="34"/>
      <c r="E352" s="35"/>
      <c r="F352" s="34"/>
      <c r="G352" s="37">
        <v>0.14399999999999999</v>
      </c>
      <c r="H352" s="32" t="s">
        <v>118</v>
      </c>
      <c r="I352" s="38" t="s">
        <v>19</v>
      </c>
      <c r="J352" s="56" t="s">
        <v>247</v>
      </c>
      <c r="K352" s="90"/>
      <c r="L352" s="91"/>
      <c r="M352" s="91"/>
      <c r="N352" s="53" t="s">
        <v>582</v>
      </c>
      <c r="O352" s="43"/>
    </row>
    <row r="353" spans="1:15" s="22" customFormat="1" ht="26.25">
      <c r="A353" s="32">
        <f>SUBTOTAL(103,$B$2:B353)*1</f>
        <v>352</v>
      </c>
      <c r="B353" s="28" t="s">
        <v>192</v>
      </c>
      <c r="C353" s="51" t="s">
        <v>596</v>
      </c>
      <c r="D353" s="34"/>
      <c r="E353" s="35"/>
      <c r="F353" s="34"/>
      <c r="G353" s="37">
        <v>4.9000000000000002E-2</v>
      </c>
      <c r="H353" s="32" t="s">
        <v>118</v>
      </c>
      <c r="I353" s="38" t="s">
        <v>19</v>
      </c>
      <c r="J353" s="56" t="s">
        <v>247</v>
      </c>
      <c r="K353" s="90"/>
      <c r="L353" s="91"/>
      <c r="M353" s="91"/>
      <c r="N353" s="53" t="s">
        <v>582</v>
      </c>
      <c r="O353" s="43"/>
    </row>
    <row r="354" spans="1:15" s="22" customFormat="1" ht="26.25">
      <c r="A354" s="32">
        <f>SUBTOTAL(103,$B$2:B354)*1</f>
        <v>353</v>
      </c>
      <c r="B354" s="28" t="s">
        <v>597</v>
      </c>
      <c r="C354" s="51" t="s">
        <v>598</v>
      </c>
      <c r="D354" s="32"/>
      <c r="E354" s="103" t="s">
        <v>100</v>
      </c>
      <c r="F354" s="32"/>
      <c r="G354" s="37" t="s">
        <v>100</v>
      </c>
      <c r="H354" s="32" t="s">
        <v>16</v>
      </c>
      <c r="I354" s="38" t="str">
        <f>IF(G354="","",IF(G354=E354,"Pass",""))</f>
        <v>Pass</v>
      </c>
      <c r="J354" s="56" t="s">
        <v>247</v>
      </c>
      <c r="K354" s="90"/>
      <c r="L354" s="91"/>
      <c r="M354" s="91"/>
      <c r="N354" s="76" t="s">
        <v>599</v>
      </c>
      <c r="O354" s="43"/>
    </row>
    <row r="355" spans="1:15" s="22" customFormat="1" ht="23.25">
      <c r="A355" s="32">
        <f>SUBTOTAL(103,$B$2:B355)*1</f>
        <v>354</v>
      </c>
      <c r="B355" s="28" t="s">
        <v>597</v>
      </c>
      <c r="C355" s="51" t="s">
        <v>600</v>
      </c>
      <c r="D355" s="32"/>
      <c r="E355" s="35" t="s">
        <v>258</v>
      </c>
      <c r="F355" s="32"/>
      <c r="G355" s="37" t="s">
        <v>258</v>
      </c>
      <c r="H355" s="32" t="s">
        <v>16</v>
      </c>
      <c r="I355" s="38" t="str">
        <f>IF(G355="","",IF(G355=E355,"Pass",""))</f>
        <v>Pass</v>
      </c>
      <c r="J355" s="56" t="s">
        <v>247</v>
      </c>
      <c r="K355" s="90"/>
      <c r="L355" s="91"/>
      <c r="M355" s="91"/>
      <c r="N355" s="76"/>
      <c r="O355" s="43"/>
    </row>
    <row r="356" spans="1:15" s="22" customFormat="1" ht="26.25">
      <c r="A356" s="32">
        <f>SUBTOTAL(103,$B$2:B356)*1</f>
        <v>355</v>
      </c>
      <c r="B356" s="28" t="s">
        <v>601</v>
      </c>
      <c r="C356" s="51" t="s">
        <v>602</v>
      </c>
      <c r="D356" s="32">
        <v>198</v>
      </c>
      <c r="E356" s="35"/>
      <c r="F356" s="32"/>
      <c r="G356" s="45">
        <v>399</v>
      </c>
      <c r="H356" s="32" t="s">
        <v>16</v>
      </c>
      <c r="I356" s="38" t="str">
        <f>IF(G356="","",IF(G356&gt;=D356,"Pass","Fail"))</f>
        <v>Pass</v>
      </c>
      <c r="J356" s="39" t="s">
        <v>247</v>
      </c>
      <c r="K356" s="40"/>
      <c r="L356" s="52"/>
      <c r="M356" s="52"/>
      <c r="N356" s="46" t="s">
        <v>603</v>
      </c>
      <c r="O356" s="104"/>
    </row>
    <row r="357" spans="1:15" s="22" customFormat="1" ht="26.25">
      <c r="A357" s="32">
        <f>SUBTOTAL(103,$B$2:B357)*1</f>
        <v>356</v>
      </c>
      <c r="B357" s="23" t="s">
        <v>604</v>
      </c>
      <c r="C357" s="23" t="s">
        <v>605</v>
      </c>
      <c r="D357" s="32"/>
      <c r="E357" s="35" t="s">
        <v>48</v>
      </c>
      <c r="F357" s="32"/>
      <c r="G357" s="37" t="s">
        <v>48</v>
      </c>
      <c r="H357" s="32" t="s">
        <v>16</v>
      </c>
      <c r="I357" s="38" t="str">
        <f>IF(G357="","",IF(G357=E357,"Pass","Fail"))</f>
        <v>Pass</v>
      </c>
      <c r="J357" s="39" t="s">
        <v>247</v>
      </c>
      <c r="K357" s="40"/>
      <c r="L357" s="52"/>
      <c r="M357" s="52"/>
      <c r="N357" s="53"/>
      <c r="O357" s="43" t="s">
        <v>54</v>
      </c>
    </row>
    <row r="358" spans="1:15" s="22" customFormat="1" ht="26.25">
      <c r="A358" s="32">
        <f>SUBTOTAL(103,$B$2:B358)*1</f>
        <v>357</v>
      </c>
      <c r="B358" s="23" t="s">
        <v>604</v>
      </c>
      <c r="C358" s="23" t="s">
        <v>606</v>
      </c>
      <c r="D358" s="32"/>
      <c r="E358" s="35" t="s">
        <v>48</v>
      </c>
      <c r="F358" s="32"/>
      <c r="G358" s="37" t="s">
        <v>48</v>
      </c>
      <c r="H358" s="32" t="s">
        <v>16</v>
      </c>
      <c r="I358" s="38" t="str">
        <f>IF(G358="","",IF(G358=E358,"Pass","Fail"))</f>
        <v>Pass</v>
      </c>
      <c r="J358" s="39" t="s">
        <v>247</v>
      </c>
      <c r="K358" s="40"/>
      <c r="L358" s="52"/>
      <c r="M358" s="52"/>
      <c r="N358" s="53"/>
      <c r="O358" s="43"/>
    </row>
    <row r="359" spans="1:15" s="22" customFormat="1" ht="26.25">
      <c r="A359" s="32">
        <f>SUBTOTAL(103,$B$2:B359)*1</f>
        <v>358</v>
      </c>
      <c r="B359" s="23" t="s">
        <v>604</v>
      </c>
      <c r="C359" s="23" t="s">
        <v>607</v>
      </c>
      <c r="D359" s="32"/>
      <c r="E359" s="35" t="s">
        <v>48</v>
      </c>
      <c r="F359" s="32"/>
      <c r="G359" s="37" t="s">
        <v>48</v>
      </c>
      <c r="H359" s="32" t="s">
        <v>16</v>
      </c>
      <c r="I359" s="38" t="str">
        <f>IF(G359="","",IF(G359=E359,"Pass","Fail"))</f>
        <v>Pass</v>
      </c>
      <c r="J359" s="39" t="s">
        <v>247</v>
      </c>
      <c r="K359" s="40"/>
      <c r="L359" s="52"/>
      <c r="M359" s="52"/>
      <c r="N359" s="53"/>
      <c r="O359" s="43" t="s">
        <v>54</v>
      </c>
    </row>
    <row r="360" spans="1:15" s="22" customFormat="1" ht="26.25">
      <c r="A360" s="32">
        <f>SUBTOTAL(103,$B$2:B360)*1</f>
        <v>359</v>
      </c>
      <c r="B360" s="23" t="s">
        <v>604</v>
      </c>
      <c r="C360" s="23" t="s">
        <v>608</v>
      </c>
      <c r="D360" s="32"/>
      <c r="E360" s="35" t="s">
        <v>48</v>
      </c>
      <c r="F360" s="32"/>
      <c r="G360" s="37" t="s">
        <v>48</v>
      </c>
      <c r="H360" s="32"/>
      <c r="I360" s="38" t="s">
        <v>19</v>
      </c>
      <c r="J360" s="39" t="s">
        <v>247</v>
      </c>
      <c r="K360" s="40"/>
      <c r="L360" s="52"/>
      <c r="M360" s="52"/>
      <c r="N360" s="53"/>
      <c r="O360" s="43" t="s">
        <v>54</v>
      </c>
    </row>
    <row r="361" spans="1:15" s="22" customFormat="1" ht="26.25">
      <c r="A361" s="32">
        <f>SUBTOTAL(103,$B$2:B361)*1</f>
        <v>360</v>
      </c>
      <c r="B361" s="23" t="s">
        <v>604</v>
      </c>
      <c r="C361" s="23" t="s">
        <v>609</v>
      </c>
      <c r="D361" s="32"/>
      <c r="E361" s="35" t="s">
        <v>48</v>
      </c>
      <c r="F361" s="32"/>
      <c r="G361" s="37" t="s">
        <v>48</v>
      </c>
      <c r="H361" s="32" t="s">
        <v>16</v>
      </c>
      <c r="I361" s="38" t="str">
        <f t="shared" ref="I361:I381" si="16">IF(G361="","",IF(G361=E361,"Pass","Fail"))</f>
        <v>Pass</v>
      </c>
      <c r="J361" s="39" t="s">
        <v>247</v>
      </c>
      <c r="K361" s="40"/>
      <c r="L361" s="52"/>
      <c r="M361" s="52"/>
      <c r="N361" s="53"/>
      <c r="O361" s="43" t="s">
        <v>54</v>
      </c>
    </row>
    <row r="362" spans="1:15" s="22" customFormat="1" ht="26.25">
      <c r="A362" s="32">
        <f>SUBTOTAL(103,$B$2:B362)*1</f>
        <v>361</v>
      </c>
      <c r="B362" s="28" t="s">
        <v>604</v>
      </c>
      <c r="C362" s="23" t="s">
        <v>610</v>
      </c>
      <c r="D362" s="32"/>
      <c r="E362" s="35" t="s">
        <v>48</v>
      </c>
      <c r="F362" s="32"/>
      <c r="G362" s="37" t="s">
        <v>48</v>
      </c>
      <c r="H362" s="32" t="s">
        <v>16</v>
      </c>
      <c r="I362" s="38" t="str">
        <f t="shared" si="16"/>
        <v>Pass</v>
      </c>
      <c r="J362" s="39" t="s">
        <v>247</v>
      </c>
      <c r="K362" s="40"/>
      <c r="L362" s="52"/>
      <c r="M362" s="52"/>
      <c r="N362" s="53"/>
      <c r="O362" s="43" t="s">
        <v>54</v>
      </c>
    </row>
    <row r="363" spans="1:15" s="22" customFormat="1" ht="26.25">
      <c r="A363" s="32">
        <f>SUBTOTAL(103,$B$2:B363)*1</f>
        <v>362</v>
      </c>
      <c r="B363" s="23" t="s">
        <v>604</v>
      </c>
      <c r="C363" s="51" t="s">
        <v>611</v>
      </c>
      <c r="D363" s="32"/>
      <c r="E363" s="35" t="s">
        <v>48</v>
      </c>
      <c r="F363" s="32"/>
      <c r="G363" s="37" t="s">
        <v>48</v>
      </c>
      <c r="H363" s="32" t="s">
        <v>16</v>
      </c>
      <c r="I363" s="38" t="str">
        <f t="shared" si="16"/>
        <v>Pass</v>
      </c>
      <c r="J363" s="39" t="s">
        <v>247</v>
      </c>
      <c r="K363" s="40"/>
      <c r="L363" s="52"/>
      <c r="M363" s="52"/>
      <c r="N363" s="53"/>
      <c r="O363" s="43"/>
    </row>
    <row r="364" spans="1:15" s="22" customFormat="1" ht="26.25">
      <c r="A364" s="32">
        <f>SUBTOTAL(103,$B$2:B364)*1</f>
        <v>363</v>
      </c>
      <c r="B364" s="23" t="s">
        <v>604</v>
      </c>
      <c r="C364" s="51" t="s">
        <v>612</v>
      </c>
      <c r="D364" s="32"/>
      <c r="E364" s="35" t="s">
        <v>48</v>
      </c>
      <c r="F364" s="32"/>
      <c r="G364" s="37" t="s">
        <v>48</v>
      </c>
      <c r="H364" s="32" t="s">
        <v>16</v>
      </c>
      <c r="I364" s="38" t="str">
        <f t="shared" si="16"/>
        <v>Pass</v>
      </c>
      <c r="J364" s="39" t="s">
        <v>247</v>
      </c>
      <c r="K364" s="40"/>
      <c r="L364" s="52"/>
      <c r="M364" s="52"/>
      <c r="N364" s="53"/>
      <c r="O364" s="43" t="s">
        <v>54</v>
      </c>
    </row>
    <row r="365" spans="1:15" s="22" customFormat="1" ht="26.25">
      <c r="A365" s="32">
        <f>SUBTOTAL(103,$B$2:B365)*1</f>
        <v>364</v>
      </c>
      <c r="B365" s="23" t="s">
        <v>604</v>
      </c>
      <c r="C365" s="33" t="s">
        <v>613</v>
      </c>
      <c r="D365" s="32"/>
      <c r="E365" s="35" t="s">
        <v>48</v>
      </c>
      <c r="F365" s="32"/>
      <c r="G365" s="37" t="s">
        <v>48</v>
      </c>
      <c r="H365" s="32" t="s">
        <v>16</v>
      </c>
      <c r="I365" s="38" t="str">
        <f t="shared" si="16"/>
        <v>Pass</v>
      </c>
      <c r="J365" s="39" t="s">
        <v>247</v>
      </c>
      <c r="K365" s="40"/>
      <c r="L365" s="52"/>
      <c r="M365" s="52"/>
      <c r="N365" s="53"/>
      <c r="O365" s="43" t="s">
        <v>54</v>
      </c>
    </row>
    <row r="366" spans="1:15" s="22" customFormat="1" ht="26.25">
      <c r="A366" s="32">
        <f>SUBTOTAL(103,$B$2:B366)*1</f>
        <v>365</v>
      </c>
      <c r="B366" s="23" t="s">
        <v>604</v>
      </c>
      <c r="C366" s="33" t="s">
        <v>614</v>
      </c>
      <c r="D366" s="32"/>
      <c r="E366" s="35" t="s">
        <v>48</v>
      </c>
      <c r="F366" s="32"/>
      <c r="G366" s="37" t="s">
        <v>48</v>
      </c>
      <c r="H366" s="32" t="s">
        <v>16</v>
      </c>
      <c r="I366" s="38" t="str">
        <f t="shared" si="16"/>
        <v>Pass</v>
      </c>
      <c r="J366" s="39" t="s">
        <v>247</v>
      </c>
      <c r="K366" s="40"/>
      <c r="L366" s="52"/>
      <c r="M366" s="52"/>
      <c r="N366" s="46" t="s">
        <v>615</v>
      </c>
      <c r="O366" s="43" t="s">
        <v>54</v>
      </c>
    </row>
    <row r="367" spans="1:15" s="22" customFormat="1" ht="26.25">
      <c r="A367" s="32">
        <f>SUBTOTAL(103,$B$2:B367)*1</f>
        <v>366</v>
      </c>
      <c r="B367" s="23" t="s">
        <v>604</v>
      </c>
      <c r="C367" s="33" t="s">
        <v>616</v>
      </c>
      <c r="D367" s="32"/>
      <c r="E367" s="35" t="s">
        <v>48</v>
      </c>
      <c r="F367" s="32"/>
      <c r="G367" s="37" t="s">
        <v>48</v>
      </c>
      <c r="H367" s="32" t="s">
        <v>16</v>
      </c>
      <c r="I367" s="38" t="str">
        <f t="shared" si="16"/>
        <v>Pass</v>
      </c>
      <c r="J367" s="39" t="s">
        <v>247</v>
      </c>
      <c r="K367" s="40"/>
      <c r="L367" s="52"/>
      <c r="M367" s="52"/>
      <c r="N367" s="46" t="s">
        <v>617</v>
      </c>
      <c r="O367" s="43" t="s">
        <v>54</v>
      </c>
    </row>
    <row r="368" spans="1:15" s="22" customFormat="1" ht="26.25">
      <c r="A368" s="32">
        <f>SUBTOTAL(103,$B$2:B368)*1</f>
        <v>367</v>
      </c>
      <c r="B368" s="23" t="s">
        <v>604</v>
      </c>
      <c r="C368" s="33" t="s">
        <v>618</v>
      </c>
      <c r="D368" s="32"/>
      <c r="E368" s="35" t="s">
        <v>48</v>
      </c>
      <c r="F368" s="32"/>
      <c r="G368" s="37" t="s">
        <v>48</v>
      </c>
      <c r="H368" s="32" t="s">
        <v>16</v>
      </c>
      <c r="I368" s="38" t="str">
        <f t="shared" si="16"/>
        <v>Pass</v>
      </c>
      <c r="J368" s="39" t="s">
        <v>247</v>
      </c>
      <c r="K368" s="40"/>
      <c r="L368" s="52"/>
      <c r="M368" s="52"/>
      <c r="N368" s="53" t="s">
        <v>619</v>
      </c>
      <c r="O368" s="43" t="s">
        <v>54</v>
      </c>
    </row>
    <row r="369" spans="1:16" s="22" customFormat="1" ht="26.25">
      <c r="A369" s="32">
        <f>SUBTOTAL(103,$B$2:B369)*1</f>
        <v>368</v>
      </c>
      <c r="B369" s="23" t="s">
        <v>604</v>
      </c>
      <c r="C369" s="51" t="s">
        <v>620</v>
      </c>
      <c r="D369" s="32"/>
      <c r="E369" s="35" t="s">
        <v>48</v>
      </c>
      <c r="F369" s="32"/>
      <c r="G369" s="37" t="s">
        <v>48</v>
      </c>
      <c r="H369" s="32" t="s">
        <v>16</v>
      </c>
      <c r="I369" s="38" t="str">
        <f t="shared" si="16"/>
        <v>Pass</v>
      </c>
      <c r="J369" s="39" t="s">
        <v>247</v>
      </c>
      <c r="K369" s="40"/>
      <c r="L369" s="52"/>
      <c r="M369" s="52"/>
      <c r="N369" s="46" t="s">
        <v>621</v>
      </c>
      <c r="O369" s="43" t="s">
        <v>54</v>
      </c>
    </row>
    <row r="370" spans="1:16" s="22" customFormat="1" ht="26.25">
      <c r="A370" s="32">
        <f>SUBTOTAL(103,$B$2:B370)*1</f>
        <v>369</v>
      </c>
      <c r="B370" s="23" t="s">
        <v>604</v>
      </c>
      <c r="C370" s="33" t="s">
        <v>622</v>
      </c>
      <c r="D370" s="32"/>
      <c r="E370" s="35" t="s">
        <v>48</v>
      </c>
      <c r="F370" s="32"/>
      <c r="G370" s="37" t="s">
        <v>48</v>
      </c>
      <c r="H370" s="32" t="s">
        <v>16</v>
      </c>
      <c r="I370" s="38" t="str">
        <f t="shared" si="16"/>
        <v>Pass</v>
      </c>
      <c r="J370" s="39" t="s">
        <v>247</v>
      </c>
      <c r="K370" s="40"/>
      <c r="L370" s="52"/>
      <c r="M370" s="52"/>
      <c r="N370" s="53"/>
      <c r="O370" s="43" t="s">
        <v>54</v>
      </c>
    </row>
    <row r="371" spans="1:16" s="22" customFormat="1" ht="26.25">
      <c r="A371" s="32">
        <f>SUBTOTAL(103,$B$2:B371)*1</f>
        <v>370</v>
      </c>
      <c r="B371" s="23" t="s">
        <v>604</v>
      </c>
      <c r="C371" s="33" t="s">
        <v>623</v>
      </c>
      <c r="D371" s="32"/>
      <c r="E371" s="35" t="s">
        <v>48</v>
      </c>
      <c r="F371" s="32"/>
      <c r="G371" s="37" t="s">
        <v>48</v>
      </c>
      <c r="H371" s="32" t="s">
        <v>16</v>
      </c>
      <c r="I371" s="38" t="str">
        <f t="shared" si="16"/>
        <v>Pass</v>
      </c>
      <c r="J371" s="39" t="s">
        <v>247</v>
      </c>
      <c r="K371" s="40"/>
      <c r="L371" s="52"/>
      <c r="M371" s="52"/>
      <c r="N371" s="46" t="s">
        <v>624</v>
      </c>
      <c r="O371" s="43" t="s">
        <v>54</v>
      </c>
    </row>
    <row r="372" spans="1:16" s="22" customFormat="1" ht="26.25">
      <c r="A372" s="32">
        <f>SUBTOTAL(103,$B$2:B372)*1</f>
        <v>371</v>
      </c>
      <c r="B372" s="23" t="s">
        <v>604</v>
      </c>
      <c r="C372" s="33" t="s">
        <v>625</v>
      </c>
      <c r="D372" s="32"/>
      <c r="E372" s="35" t="s">
        <v>100</v>
      </c>
      <c r="F372" s="32"/>
      <c r="G372" s="37" t="s">
        <v>100</v>
      </c>
      <c r="H372" s="32" t="s">
        <v>16</v>
      </c>
      <c r="I372" s="38" t="str">
        <f t="shared" si="16"/>
        <v>Pass</v>
      </c>
      <c r="J372" s="39" t="s">
        <v>247</v>
      </c>
      <c r="K372" s="40"/>
      <c r="L372" s="52"/>
      <c r="M372" s="52"/>
      <c r="N372" s="53"/>
      <c r="O372" s="43" t="s">
        <v>54</v>
      </c>
    </row>
    <row r="373" spans="1:16" s="22" customFormat="1" ht="26.25">
      <c r="A373" s="32">
        <f>SUBTOTAL(103,$B$2:B373)*1</f>
        <v>372</v>
      </c>
      <c r="B373" s="23" t="s">
        <v>604</v>
      </c>
      <c r="C373" s="33" t="s">
        <v>626</v>
      </c>
      <c r="D373" s="32"/>
      <c r="E373" s="35" t="s">
        <v>48</v>
      </c>
      <c r="F373" s="32"/>
      <c r="G373" s="37" t="s">
        <v>48</v>
      </c>
      <c r="H373" s="32" t="s">
        <v>16</v>
      </c>
      <c r="I373" s="38" t="str">
        <f t="shared" si="16"/>
        <v>Pass</v>
      </c>
      <c r="J373" s="39" t="s">
        <v>247</v>
      </c>
      <c r="K373" s="40"/>
      <c r="L373" s="52"/>
      <c r="M373" s="52"/>
      <c r="N373" s="53" t="s">
        <v>627</v>
      </c>
      <c r="O373" s="43" t="s">
        <v>54</v>
      </c>
    </row>
    <row r="374" spans="1:16" s="22" customFormat="1" ht="26.25">
      <c r="A374" s="32">
        <f>SUBTOTAL(103,$B$2:B374)*1</f>
        <v>373</v>
      </c>
      <c r="B374" s="23" t="s">
        <v>604</v>
      </c>
      <c r="C374" s="23" t="s">
        <v>628</v>
      </c>
      <c r="D374" s="32"/>
      <c r="E374" s="35" t="s">
        <v>464</v>
      </c>
      <c r="F374" s="32"/>
      <c r="G374" s="37" t="s">
        <v>464</v>
      </c>
      <c r="H374" s="32" t="s">
        <v>16</v>
      </c>
      <c r="I374" s="38" t="str">
        <f t="shared" si="16"/>
        <v>Pass</v>
      </c>
      <c r="J374" s="39" t="s">
        <v>247</v>
      </c>
      <c r="K374" s="40"/>
      <c r="L374" s="52"/>
      <c r="M374" s="52"/>
      <c r="N374" s="53"/>
      <c r="O374" s="43"/>
    </row>
    <row r="375" spans="1:16" s="93" customFormat="1" ht="27" customHeight="1">
      <c r="A375" s="22">
        <f>SUBTOTAL(103,$B$2:B375)*1</f>
        <v>374</v>
      </c>
      <c r="B375" s="23" t="s">
        <v>604</v>
      </c>
      <c r="C375" s="51" t="s">
        <v>629</v>
      </c>
      <c r="D375" s="32"/>
      <c r="E375" s="35" t="s">
        <v>48</v>
      </c>
      <c r="F375" s="32"/>
      <c r="G375" s="37" t="s">
        <v>48</v>
      </c>
      <c r="H375" s="32" t="s">
        <v>16</v>
      </c>
      <c r="I375" s="38" t="str">
        <f t="shared" si="16"/>
        <v>Pass</v>
      </c>
      <c r="J375" s="39" t="s">
        <v>247</v>
      </c>
      <c r="K375" s="40"/>
      <c r="L375" s="105"/>
      <c r="M375" s="124"/>
      <c r="N375" s="78" t="s">
        <v>16</v>
      </c>
      <c r="O375" s="106" t="s">
        <v>630</v>
      </c>
      <c r="P375" s="43"/>
    </row>
    <row r="376" spans="1:16" s="22" customFormat="1" ht="26.25">
      <c r="A376" s="32">
        <f>SUBTOTAL(103,$B$2:B376)*1</f>
        <v>375</v>
      </c>
      <c r="B376" s="23" t="s">
        <v>604</v>
      </c>
      <c r="C376" s="23" t="s">
        <v>631</v>
      </c>
      <c r="D376" s="32"/>
      <c r="E376" s="35" t="s">
        <v>632</v>
      </c>
      <c r="F376" s="32"/>
      <c r="G376" s="37" t="s">
        <v>632</v>
      </c>
      <c r="H376" s="32" t="s">
        <v>16</v>
      </c>
      <c r="I376" s="38" t="str">
        <f t="shared" si="16"/>
        <v>Pass</v>
      </c>
      <c r="J376" s="39" t="s">
        <v>247</v>
      </c>
      <c r="K376" s="40"/>
      <c r="L376" s="52"/>
      <c r="M376" s="52"/>
      <c r="N376" s="53" t="s">
        <v>633</v>
      </c>
      <c r="O376" s="43" t="s">
        <v>54</v>
      </c>
    </row>
    <row r="377" spans="1:16" s="22" customFormat="1" ht="26.25">
      <c r="A377" s="32">
        <f>SUBTOTAL(103,$B$2:B377)*1</f>
        <v>376</v>
      </c>
      <c r="B377" s="23" t="s">
        <v>604</v>
      </c>
      <c r="C377" s="51" t="s">
        <v>634</v>
      </c>
      <c r="D377" s="32"/>
      <c r="E377" s="35" t="s">
        <v>462</v>
      </c>
      <c r="F377" s="32"/>
      <c r="G377" s="37" t="s">
        <v>462</v>
      </c>
      <c r="H377" s="32" t="s">
        <v>16</v>
      </c>
      <c r="I377" s="38" t="str">
        <f t="shared" si="16"/>
        <v>Pass</v>
      </c>
      <c r="J377" s="39" t="s">
        <v>247</v>
      </c>
      <c r="K377" s="40"/>
      <c r="L377" s="52"/>
      <c r="M377" s="52"/>
      <c r="N377" s="53"/>
      <c r="O377" s="43" t="s">
        <v>54</v>
      </c>
    </row>
    <row r="378" spans="1:16" s="22" customFormat="1" ht="26.25">
      <c r="A378" s="32">
        <f>SUBTOTAL(103,$B$2:B378)*1</f>
        <v>377</v>
      </c>
      <c r="B378" s="23" t="s">
        <v>604</v>
      </c>
      <c r="C378" s="23" t="s">
        <v>635</v>
      </c>
      <c r="D378" s="32"/>
      <c r="E378" s="35">
        <v>5</v>
      </c>
      <c r="F378" s="32"/>
      <c r="G378" s="37">
        <v>5</v>
      </c>
      <c r="H378" s="32" t="s">
        <v>636</v>
      </c>
      <c r="I378" s="38" t="str">
        <f t="shared" si="16"/>
        <v>Pass</v>
      </c>
      <c r="J378" s="39" t="s">
        <v>247</v>
      </c>
      <c r="K378" s="40"/>
      <c r="L378" s="52"/>
      <c r="M378" s="52"/>
      <c r="N378" s="53" t="s">
        <v>637</v>
      </c>
      <c r="O378" s="43" t="s">
        <v>54</v>
      </c>
    </row>
    <row r="379" spans="1:16" s="22" customFormat="1" ht="26.25">
      <c r="A379" s="32">
        <f>SUBTOTAL(103,$B$2:B379)*1</f>
        <v>378</v>
      </c>
      <c r="B379" s="23" t="s">
        <v>604</v>
      </c>
      <c r="C379" s="23" t="s">
        <v>507</v>
      </c>
      <c r="D379" s="32"/>
      <c r="E379" s="35">
        <v>9600</v>
      </c>
      <c r="F379" s="32"/>
      <c r="G379" s="37">
        <v>9600</v>
      </c>
      <c r="H379" s="32" t="s">
        <v>16</v>
      </c>
      <c r="I379" s="38" t="str">
        <f t="shared" si="16"/>
        <v>Pass</v>
      </c>
      <c r="J379" s="39" t="s">
        <v>247</v>
      </c>
      <c r="K379" s="40"/>
      <c r="L379" s="52"/>
      <c r="M379" s="52"/>
      <c r="N379" s="53"/>
      <c r="O379" s="43" t="s">
        <v>54</v>
      </c>
    </row>
    <row r="380" spans="1:16" s="22" customFormat="1" ht="26.25">
      <c r="A380" s="32">
        <f>SUBTOTAL(103,$B$2:B380)*1</f>
        <v>379</v>
      </c>
      <c r="B380" s="28" t="s">
        <v>638</v>
      </c>
      <c r="C380" s="23" t="s">
        <v>639</v>
      </c>
      <c r="D380" s="32"/>
      <c r="E380" s="35">
        <v>80</v>
      </c>
      <c r="F380" s="32"/>
      <c r="G380" s="37">
        <v>80</v>
      </c>
      <c r="H380" s="32" t="s">
        <v>16</v>
      </c>
      <c r="I380" s="38" t="str">
        <f t="shared" si="16"/>
        <v>Pass</v>
      </c>
      <c r="J380" s="39" t="s">
        <v>247</v>
      </c>
      <c r="K380" s="40"/>
      <c r="L380" s="52"/>
      <c r="M380" s="52"/>
      <c r="N380" s="46" t="s">
        <v>640</v>
      </c>
      <c r="O380" s="43" t="s">
        <v>54</v>
      </c>
    </row>
    <row r="381" spans="1:16" s="22" customFormat="1" ht="26.25">
      <c r="A381" s="32">
        <f>SUBTOTAL(103,$B$2:B381)*1</f>
        <v>380</v>
      </c>
      <c r="B381" s="28" t="s">
        <v>638</v>
      </c>
      <c r="C381" s="23" t="s">
        <v>641</v>
      </c>
      <c r="D381" s="32"/>
      <c r="E381" s="35">
        <v>0</v>
      </c>
      <c r="F381" s="32"/>
      <c r="G381" s="37">
        <v>0</v>
      </c>
      <c r="H381" s="32" t="s">
        <v>16</v>
      </c>
      <c r="I381" s="38" t="str">
        <f t="shared" si="16"/>
        <v>Pass</v>
      </c>
      <c r="J381" s="39" t="s">
        <v>247</v>
      </c>
      <c r="K381" s="40"/>
      <c r="L381" s="52"/>
      <c r="M381" s="52"/>
      <c r="N381" s="46" t="s">
        <v>640</v>
      </c>
      <c r="O381" s="43" t="s">
        <v>54</v>
      </c>
    </row>
    <row r="382" spans="1:16" s="22" customFormat="1" ht="26.25">
      <c r="A382" s="32">
        <f>SUBTOTAL(103,$B$2:B382)*1</f>
        <v>381</v>
      </c>
      <c r="B382" s="23" t="s">
        <v>604</v>
      </c>
      <c r="C382" s="23" t="s">
        <v>642</v>
      </c>
      <c r="D382" s="32"/>
      <c r="E382" s="35"/>
      <c r="F382" s="32"/>
      <c r="G382" s="37">
        <v>1.6</v>
      </c>
      <c r="H382" s="32" t="s">
        <v>267</v>
      </c>
      <c r="I382" s="38" t="s">
        <v>19</v>
      </c>
      <c r="J382" s="39" t="s">
        <v>247</v>
      </c>
      <c r="K382" s="40"/>
      <c r="L382" s="52"/>
      <c r="M382" s="52"/>
      <c r="N382" s="53"/>
      <c r="O382" s="43" t="s">
        <v>54</v>
      </c>
    </row>
    <row r="383" spans="1:16" s="22" customFormat="1" ht="23.25">
      <c r="A383" s="32">
        <f>SUBTOTAL(103,$B$2:B383)*1</f>
        <v>382</v>
      </c>
      <c r="B383" s="23" t="s">
        <v>604</v>
      </c>
      <c r="C383" s="23" t="s">
        <v>643</v>
      </c>
      <c r="D383" s="32">
        <v>-80</v>
      </c>
      <c r="E383" s="35"/>
      <c r="F383" s="32">
        <v>-60</v>
      </c>
      <c r="G383" s="37">
        <v>-64.099999999999994</v>
      </c>
      <c r="H383" s="32" t="s">
        <v>644</v>
      </c>
      <c r="I383" s="38" t="s">
        <v>19</v>
      </c>
      <c r="J383" s="39" t="s">
        <v>247</v>
      </c>
      <c r="K383" s="40"/>
      <c r="L383" s="52"/>
      <c r="M383" s="52"/>
      <c r="N383" s="46" t="s">
        <v>645</v>
      </c>
      <c r="O383" s="43" t="s">
        <v>54</v>
      </c>
    </row>
    <row r="384" spans="1:16" s="22" customFormat="1" ht="26.25">
      <c r="A384" s="32">
        <f>SUBTOTAL(103,$B$2:B384)*1</f>
        <v>383</v>
      </c>
      <c r="B384" s="23" t="s">
        <v>604</v>
      </c>
      <c r="C384" s="61" t="s">
        <v>646</v>
      </c>
      <c r="D384" s="32"/>
      <c r="E384" s="35" t="s">
        <v>48</v>
      </c>
      <c r="F384" s="32"/>
      <c r="G384" s="37" t="s">
        <v>48</v>
      </c>
      <c r="H384" s="32" t="s">
        <v>16</v>
      </c>
      <c r="I384" s="38" t="str">
        <f>IF(G384="","",IF(G384=E384,"Pass","Fail"))</f>
        <v>Pass</v>
      </c>
      <c r="J384" s="39" t="s">
        <v>247</v>
      </c>
      <c r="K384" s="40"/>
      <c r="L384" s="52"/>
      <c r="M384" s="52"/>
      <c r="N384" s="53"/>
      <c r="O384" s="43"/>
    </row>
    <row r="385" spans="1:15" s="22" customFormat="1" ht="26.25">
      <c r="A385" s="32">
        <f>SUBTOTAL(103,$B$2:B385)*1</f>
        <v>384</v>
      </c>
      <c r="B385" s="23" t="s">
        <v>604</v>
      </c>
      <c r="C385" s="61" t="s">
        <v>647</v>
      </c>
      <c r="D385" s="32"/>
      <c r="E385" s="35" t="s">
        <v>48</v>
      </c>
      <c r="F385" s="32"/>
      <c r="G385" s="37" t="s">
        <v>48</v>
      </c>
      <c r="H385" s="32" t="s">
        <v>16</v>
      </c>
      <c r="I385" s="38" t="str">
        <f>IF(G385="","",IF(G385=E385,"Pass","Fail"))</f>
        <v>Pass</v>
      </c>
      <c r="J385" s="39" t="s">
        <v>247</v>
      </c>
      <c r="K385" s="40"/>
      <c r="L385" s="52"/>
      <c r="M385" s="52"/>
      <c r="N385" s="53"/>
      <c r="O385" s="43"/>
    </row>
    <row r="386" spans="1:15" s="22" customFormat="1" ht="26.25">
      <c r="A386" s="32">
        <f>SUBTOTAL(103,$B$2:B386)*1</f>
        <v>385</v>
      </c>
      <c r="B386" s="28" t="s">
        <v>638</v>
      </c>
      <c r="C386" s="61" t="s">
        <v>648</v>
      </c>
      <c r="D386" s="32"/>
      <c r="E386" s="35" t="s">
        <v>48</v>
      </c>
      <c r="F386" s="32"/>
      <c r="G386" s="37" t="s">
        <v>48</v>
      </c>
      <c r="H386" s="32" t="s">
        <v>16</v>
      </c>
      <c r="I386" s="38" t="str">
        <f>IF(G386="","",IF(G386=E386,"Pass","Fail"))</f>
        <v>Pass</v>
      </c>
      <c r="J386" s="39" t="s">
        <v>247</v>
      </c>
      <c r="K386" s="40"/>
      <c r="L386" s="52"/>
      <c r="M386" s="52"/>
      <c r="N386" s="46" t="s">
        <v>640</v>
      </c>
      <c r="O386" s="43"/>
    </row>
    <row r="387" spans="1:15" s="22" customFormat="1" ht="26.25">
      <c r="A387" s="32">
        <f>SUBTOTAL(103,$B$2:B387)*1</f>
        <v>386</v>
      </c>
      <c r="B387" s="28" t="s">
        <v>604</v>
      </c>
      <c r="C387" s="23" t="s">
        <v>649</v>
      </c>
      <c r="D387" s="32"/>
      <c r="E387" s="35">
        <v>60</v>
      </c>
      <c r="F387" s="32"/>
      <c r="G387" s="81">
        <v>60</v>
      </c>
      <c r="H387" s="32" t="s">
        <v>25</v>
      </c>
      <c r="I387" s="38" t="str">
        <f>IF(G387="","",IF(G387=E387,"Pass","Fail"))</f>
        <v>Pass</v>
      </c>
      <c r="J387" s="39" t="s">
        <v>247</v>
      </c>
      <c r="K387" s="40"/>
      <c r="L387" s="52"/>
      <c r="M387" s="52"/>
      <c r="N387" s="53"/>
      <c r="O387" s="43"/>
    </row>
    <row r="388" spans="1:15" s="22" customFormat="1" ht="26.25">
      <c r="A388" s="32">
        <f>SUBTOTAL(103,$B$2:B388)*1</f>
        <v>387</v>
      </c>
      <c r="B388" s="28" t="s">
        <v>604</v>
      </c>
      <c r="C388" s="23" t="s">
        <v>650</v>
      </c>
      <c r="D388" s="32"/>
      <c r="E388" s="35">
        <v>20</v>
      </c>
      <c r="F388" s="32"/>
      <c r="G388" s="81">
        <v>20</v>
      </c>
      <c r="H388" s="32" t="s">
        <v>25</v>
      </c>
      <c r="I388" s="38" t="str">
        <f>IF(G388="","",IF(G388=E388,"Pass","Fail"))</f>
        <v>Pass</v>
      </c>
      <c r="J388" s="39" t="s">
        <v>247</v>
      </c>
      <c r="K388" s="40"/>
      <c r="L388" s="52"/>
      <c r="M388" s="52"/>
      <c r="N388" s="53"/>
      <c r="O388" s="43"/>
    </row>
    <row r="389" spans="1:15" s="22" customFormat="1" ht="26.25">
      <c r="A389" s="32">
        <f>SUBTOTAL(103,$B$2:B389)*1</f>
        <v>388</v>
      </c>
      <c r="B389" s="28" t="s">
        <v>638</v>
      </c>
      <c r="C389" s="23" t="s">
        <v>651</v>
      </c>
      <c r="D389" s="32"/>
      <c r="E389" s="35" t="s">
        <v>16</v>
      </c>
      <c r="F389" s="32"/>
      <c r="G389" s="81">
        <v>80</v>
      </c>
      <c r="H389" s="32" t="s">
        <v>25</v>
      </c>
      <c r="I389" s="38" t="s">
        <v>19</v>
      </c>
      <c r="J389" s="98" t="s">
        <v>247</v>
      </c>
      <c r="K389" s="40" t="s">
        <v>22</v>
      </c>
      <c r="L389" s="52"/>
      <c r="M389" s="52"/>
      <c r="N389" s="46" t="s">
        <v>652</v>
      </c>
      <c r="O389" s="43"/>
    </row>
    <row r="390" spans="1:15" s="22" customFormat="1" ht="26.25">
      <c r="A390" s="32">
        <f>SUBTOTAL(103,$B$2:B390)*1</f>
        <v>389</v>
      </c>
      <c r="B390" s="28" t="s">
        <v>638</v>
      </c>
      <c r="C390" s="23" t="s">
        <v>653</v>
      </c>
      <c r="D390" s="32"/>
      <c r="E390" s="35">
        <v>20</v>
      </c>
      <c r="F390" s="32"/>
      <c r="G390" s="81">
        <v>20</v>
      </c>
      <c r="H390" s="32" t="s">
        <v>25</v>
      </c>
      <c r="I390" s="38" t="s">
        <v>19</v>
      </c>
      <c r="J390" s="39" t="s">
        <v>247</v>
      </c>
      <c r="K390" s="40"/>
      <c r="L390" s="52"/>
      <c r="M390" s="52"/>
      <c r="N390" s="46" t="s">
        <v>640</v>
      </c>
      <c r="O390" s="43"/>
    </row>
    <row r="391" spans="1:15" s="22" customFormat="1" ht="26.25">
      <c r="A391" s="32">
        <f>SUBTOTAL(103,$B$2:B391)*1</f>
        <v>390</v>
      </c>
      <c r="B391" s="23" t="s">
        <v>604</v>
      </c>
      <c r="C391" s="23" t="s">
        <v>654</v>
      </c>
      <c r="D391" s="32"/>
      <c r="E391" s="35"/>
      <c r="F391" s="32"/>
      <c r="G391" s="81" t="s">
        <v>655</v>
      </c>
      <c r="H391" s="32" t="s">
        <v>267</v>
      </c>
      <c r="I391" s="38" t="s">
        <v>19</v>
      </c>
      <c r="J391" s="39" t="s">
        <v>247</v>
      </c>
      <c r="K391" s="40"/>
      <c r="L391" s="52"/>
      <c r="M391" s="52"/>
      <c r="N391" s="53"/>
      <c r="O391" s="43" t="s">
        <v>54</v>
      </c>
    </row>
    <row r="392" spans="1:15" s="22" customFormat="1" ht="26.25">
      <c r="A392" s="32">
        <f>SUBTOTAL(103,$B$2:B392)*1</f>
        <v>391</v>
      </c>
      <c r="B392" s="23" t="s">
        <v>604</v>
      </c>
      <c r="C392" s="23" t="s">
        <v>656</v>
      </c>
      <c r="D392" s="32"/>
      <c r="E392" s="35" t="s">
        <v>48</v>
      </c>
      <c r="F392" s="32"/>
      <c r="G392" s="37" t="s">
        <v>48</v>
      </c>
      <c r="H392" s="32" t="s">
        <v>16</v>
      </c>
      <c r="I392" s="38" t="str">
        <f>IF(G392="","",IF(G392=E392,"Pass","Fail"))</f>
        <v>Pass</v>
      </c>
      <c r="J392" s="39" t="s">
        <v>247</v>
      </c>
      <c r="K392" s="40"/>
      <c r="L392" s="52"/>
      <c r="M392" s="52"/>
      <c r="N392" s="53"/>
      <c r="O392" s="43" t="s">
        <v>54</v>
      </c>
    </row>
    <row r="393" spans="1:15" s="22" customFormat="1" ht="26.25">
      <c r="A393" s="32">
        <f>SUBTOTAL(103,$B$2:B393)*1</f>
        <v>392</v>
      </c>
      <c r="B393" s="23" t="s">
        <v>604</v>
      </c>
      <c r="C393" s="23" t="s">
        <v>657</v>
      </c>
      <c r="D393" s="32">
        <v>-80</v>
      </c>
      <c r="E393" s="35"/>
      <c r="F393" s="32">
        <v>-60</v>
      </c>
      <c r="G393" s="107">
        <v>-70</v>
      </c>
      <c r="H393" s="32" t="s">
        <v>644</v>
      </c>
      <c r="I393" s="38" t="str">
        <f>IF(G393="","",IF(AND(G393&gt;=D393,G393&lt;=F393),"Pass","Fail"))</f>
        <v>Pass</v>
      </c>
      <c r="J393" s="39" t="s">
        <v>247</v>
      </c>
      <c r="K393" s="40"/>
      <c r="L393" s="52"/>
      <c r="M393" s="52"/>
      <c r="N393" s="46" t="s">
        <v>658</v>
      </c>
      <c r="O393" s="43" t="s">
        <v>54</v>
      </c>
    </row>
    <row r="394" spans="1:15" s="22" customFormat="1" ht="26.25">
      <c r="A394" s="32">
        <f>SUBTOTAL(103,$B$2:B394)*1</f>
        <v>393</v>
      </c>
      <c r="B394" s="28" t="s">
        <v>604</v>
      </c>
      <c r="C394" s="23" t="s">
        <v>659</v>
      </c>
      <c r="D394" s="32"/>
      <c r="E394" s="35">
        <v>1</v>
      </c>
      <c r="F394" s="32"/>
      <c r="G394" s="81">
        <v>1</v>
      </c>
      <c r="H394" s="32" t="s">
        <v>16</v>
      </c>
      <c r="I394" s="38" t="str">
        <f t="shared" ref="I394:I408" si="17">IF(G394="","",IF(G394=E394,"Pass","Fail"))</f>
        <v>Pass</v>
      </c>
      <c r="J394" s="39" t="s">
        <v>247</v>
      </c>
      <c r="K394" s="40"/>
      <c r="L394" s="52"/>
      <c r="M394" s="52"/>
      <c r="N394" s="46" t="s">
        <v>660</v>
      </c>
      <c r="O394" s="43"/>
    </row>
    <row r="395" spans="1:15" s="22" customFormat="1" ht="26.25">
      <c r="A395" s="32">
        <f>SUBTOTAL(103,$B$2:B395)*1</f>
        <v>394</v>
      </c>
      <c r="B395" s="28" t="s">
        <v>604</v>
      </c>
      <c r="C395" s="23" t="s">
        <v>661</v>
      </c>
      <c r="D395" s="32"/>
      <c r="E395" s="35">
        <v>1</v>
      </c>
      <c r="F395" s="32"/>
      <c r="G395" s="81">
        <v>1</v>
      </c>
      <c r="H395" s="32" t="s">
        <v>16</v>
      </c>
      <c r="I395" s="38" t="str">
        <f t="shared" si="17"/>
        <v>Pass</v>
      </c>
      <c r="J395" s="39" t="s">
        <v>247</v>
      </c>
      <c r="K395" s="40"/>
      <c r="L395" s="52"/>
      <c r="M395" s="52"/>
      <c r="N395" s="46" t="s">
        <v>660</v>
      </c>
      <c r="O395" s="43"/>
    </row>
    <row r="396" spans="1:15" s="22" customFormat="1" ht="26.25">
      <c r="A396" s="32">
        <f>SUBTOTAL(103,$B$2:B396)*1</f>
        <v>395</v>
      </c>
      <c r="B396" s="28" t="s">
        <v>604</v>
      </c>
      <c r="C396" s="23" t="s">
        <v>662</v>
      </c>
      <c r="D396" s="32"/>
      <c r="E396" s="35">
        <v>1</v>
      </c>
      <c r="F396" s="32"/>
      <c r="G396" s="81">
        <v>1</v>
      </c>
      <c r="H396" s="32" t="s">
        <v>16</v>
      </c>
      <c r="I396" s="38" t="str">
        <f t="shared" si="17"/>
        <v>Pass</v>
      </c>
      <c r="J396" s="39" t="s">
        <v>247</v>
      </c>
      <c r="K396" s="40"/>
      <c r="L396" s="52"/>
      <c r="M396" s="52"/>
      <c r="N396" s="46" t="s">
        <v>660</v>
      </c>
      <c r="O396" s="43"/>
    </row>
    <row r="397" spans="1:15" s="22" customFormat="1" ht="26.25">
      <c r="A397" s="32">
        <f>SUBTOTAL(103,$B$2:B397)*1</f>
        <v>396</v>
      </c>
      <c r="B397" s="28" t="s">
        <v>604</v>
      </c>
      <c r="C397" s="23" t="s">
        <v>663</v>
      </c>
      <c r="D397" s="32"/>
      <c r="E397" s="35">
        <v>1</v>
      </c>
      <c r="F397" s="32"/>
      <c r="G397" s="81">
        <v>1</v>
      </c>
      <c r="H397" s="32" t="s">
        <v>16</v>
      </c>
      <c r="I397" s="38" t="str">
        <f t="shared" si="17"/>
        <v>Pass</v>
      </c>
      <c r="J397" s="39" t="s">
        <v>247</v>
      </c>
      <c r="K397" s="40"/>
      <c r="L397" s="52"/>
      <c r="M397" s="52"/>
      <c r="N397" s="46" t="s">
        <v>664</v>
      </c>
      <c r="O397" s="43"/>
    </row>
    <row r="398" spans="1:15" s="22" customFormat="1" ht="26.25">
      <c r="A398" s="32">
        <f>SUBTOTAL(103,$B$2:B398)*1</f>
        <v>397</v>
      </c>
      <c r="B398" s="28" t="s">
        <v>604</v>
      </c>
      <c r="C398" s="23" t="s">
        <v>665</v>
      </c>
      <c r="D398" s="32"/>
      <c r="E398" s="35">
        <v>1</v>
      </c>
      <c r="F398" s="32"/>
      <c r="G398" s="81">
        <v>1</v>
      </c>
      <c r="H398" s="32" t="s">
        <v>16</v>
      </c>
      <c r="I398" s="38" t="str">
        <f t="shared" si="17"/>
        <v>Pass</v>
      </c>
      <c r="J398" s="39" t="s">
        <v>247</v>
      </c>
      <c r="K398" s="40"/>
      <c r="L398" s="52"/>
      <c r="M398" s="52"/>
      <c r="N398" s="46" t="s">
        <v>664</v>
      </c>
      <c r="O398" s="43"/>
    </row>
    <row r="399" spans="1:15" s="22" customFormat="1" ht="26.25">
      <c r="A399" s="32">
        <f>SUBTOTAL(103,$B$2:B399)*1</f>
        <v>398</v>
      </c>
      <c r="B399" s="28" t="s">
        <v>604</v>
      </c>
      <c r="C399" s="23" t="s">
        <v>666</v>
      </c>
      <c r="D399" s="32"/>
      <c r="E399" s="35">
        <v>1</v>
      </c>
      <c r="F399" s="32"/>
      <c r="G399" s="81">
        <v>1</v>
      </c>
      <c r="H399" s="32" t="s">
        <v>16</v>
      </c>
      <c r="I399" s="38" t="str">
        <f t="shared" si="17"/>
        <v>Pass</v>
      </c>
      <c r="J399" s="39" t="s">
        <v>247</v>
      </c>
      <c r="K399" s="40"/>
      <c r="L399" s="52"/>
      <c r="M399" s="52"/>
      <c r="N399" s="46" t="s">
        <v>664</v>
      </c>
      <c r="O399" s="43"/>
    </row>
    <row r="400" spans="1:15" s="22" customFormat="1" ht="26.25">
      <c r="A400" s="32">
        <f>SUBTOTAL(103,$B$2:B400)*1</f>
        <v>399</v>
      </c>
      <c r="B400" s="28" t="s">
        <v>604</v>
      </c>
      <c r="C400" s="23" t="s">
        <v>667</v>
      </c>
      <c r="D400" s="32"/>
      <c r="E400" s="35">
        <v>1</v>
      </c>
      <c r="F400" s="32"/>
      <c r="G400" s="81">
        <v>1</v>
      </c>
      <c r="H400" s="32" t="s">
        <v>16</v>
      </c>
      <c r="I400" s="38" t="str">
        <f t="shared" si="17"/>
        <v>Pass</v>
      </c>
      <c r="J400" s="39" t="s">
        <v>247</v>
      </c>
      <c r="K400" s="40"/>
      <c r="L400" s="52"/>
      <c r="M400" s="52"/>
      <c r="N400" s="46" t="s">
        <v>664</v>
      </c>
      <c r="O400" s="43"/>
    </row>
    <row r="401" spans="1:15" s="22" customFormat="1" ht="26.25">
      <c r="A401" s="32">
        <f>SUBTOTAL(103,$B$2:B401)*1</f>
        <v>400</v>
      </c>
      <c r="B401" s="23" t="s">
        <v>604</v>
      </c>
      <c r="C401" s="51" t="s">
        <v>668</v>
      </c>
      <c r="D401" s="32"/>
      <c r="E401" s="35" t="s">
        <v>48</v>
      </c>
      <c r="F401" s="32"/>
      <c r="G401" s="37" t="s">
        <v>48</v>
      </c>
      <c r="H401" s="32" t="s">
        <v>16</v>
      </c>
      <c r="I401" s="38" t="str">
        <f t="shared" si="17"/>
        <v>Pass</v>
      </c>
      <c r="J401" s="39" t="s">
        <v>247</v>
      </c>
      <c r="K401" s="40"/>
      <c r="L401" s="52"/>
      <c r="M401" s="52"/>
      <c r="N401" s="46" t="s">
        <v>669</v>
      </c>
      <c r="O401" s="43"/>
    </row>
    <row r="402" spans="1:15" s="22" customFormat="1" ht="26.25">
      <c r="A402" s="32">
        <f>SUBTOTAL(103,$B$2:B402)*1</f>
        <v>401</v>
      </c>
      <c r="B402" s="28" t="s">
        <v>670</v>
      </c>
      <c r="C402" s="33" t="s">
        <v>671</v>
      </c>
      <c r="D402" s="32"/>
      <c r="E402" s="35" t="s">
        <v>48</v>
      </c>
      <c r="F402" s="32"/>
      <c r="G402" s="37" t="s">
        <v>48</v>
      </c>
      <c r="H402" s="32" t="s">
        <v>16</v>
      </c>
      <c r="I402" s="38" t="str">
        <f t="shared" si="17"/>
        <v>Pass</v>
      </c>
      <c r="J402" s="39" t="s">
        <v>247</v>
      </c>
      <c r="K402" s="40"/>
      <c r="L402" s="52"/>
      <c r="M402" s="52"/>
      <c r="N402" s="46" t="s">
        <v>672</v>
      </c>
      <c r="O402" s="43"/>
    </row>
    <row r="403" spans="1:15" s="22" customFormat="1" ht="26.25">
      <c r="A403" s="32">
        <f>SUBTOTAL(103,$B$2:B403)*1</f>
        <v>402</v>
      </c>
      <c r="B403" s="28" t="s">
        <v>670</v>
      </c>
      <c r="C403" s="23" t="s">
        <v>673</v>
      </c>
      <c r="D403" s="32"/>
      <c r="E403" s="35" t="s">
        <v>48</v>
      </c>
      <c r="F403" s="32"/>
      <c r="G403" s="37" t="s">
        <v>48</v>
      </c>
      <c r="H403" s="32" t="s">
        <v>16</v>
      </c>
      <c r="I403" s="38" t="str">
        <f t="shared" si="17"/>
        <v>Pass</v>
      </c>
      <c r="J403" s="39" t="s">
        <v>247</v>
      </c>
      <c r="K403" s="40"/>
      <c r="L403" s="52"/>
      <c r="M403" s="52"/>
      <c r="N403" s="46" t="s">
        <v>674</v>
      </c>
      <c r="O403" s="43"/>
    </row>
    <row r="404" spans="1:15" s="22" customFormat="1" ht="26.25">
      <c r="A404" s="32">
        <f>SUBTOTAL(103,$B$2:B404)*1</f>
        <v>403</v>
      </c>
      <c r="B404" s="28" t="s">
        <v>675</v>
      </c>
      <c r="C404" s="23" t="s">
        <v>676</v>
      </c>
      <c r="D404" s="32"/>
      <c r="E404" s="35" t="s">
        <v>48</v>
      </c>
      <c r="F404" s="32"/>
      <c r="G404" s="37" t="s">
        <v>48</v>
      </c>
      <c r="H404" s="32" t="s">
        <v>16</v>
      </c>
      <c r="I404" s="38" t="str">
        <f t="shared" si="17"/>
        <v>Pass</v>
      </c>
      <c r="J404" s="39" t="s">
        <v>247</v>
      </c>
      <c r="K404" s="40"/>
      <c r="L404" s="52"/>
      <c r="M404" s="52"/>
      <c r="N404" s="46" t="s">
        <v>677</v>
      </c>
      <c r="O404" s="43"/>
    </row>
    <row r="405" spans="1:15" s="22" customFormat="1" ht="26.25">
      <c r="A405" s="32">
        <f>SUBTOTAL(103,$B$2:B405)*1</f>
        <v>404</v>
      </c>
      <c r="B405" s="23" t="s">
        <v>675</v>
      </c>
      <c r="C405" s="23" t="s">
        <v>509</v>
      </c>
      <c r="D405" s="32"/>
      <c r="E405" s="35">
        <v>3</v>
      </c>
      <c r="F405" s="32"/>
      <c r="G405" s="37">
        <v>3</v>
      </c>
      <c r="H405" s="32" t="s">
        <v>16</v>
      </c>
      <c r="I405" s="38" t="str">
        <f t="shared" si="17"/>
        <v>Pass</v>
      </c>
      <c r="J405" s="39" t="s">
        <v>247</v>
      </c>
      <c r="K405" s="40"/>
      <c r="L405" s="52"/>
      <c r="M405" s="52"/>
      <c r="N405" s="46" t="s">
        <v>678</v>
      </c>
      <c r="O405" s="43" t="s">
        <v>54</v>
      </c>
    </row>
    <row r="406" spans="1:15" s="22" customFormat="1" ht="26.25">
      <c r="A406" s="32">
        <f>SUBTOTAL(103,$B$2:B406)*1</f>
        <v>405</v>
      </c>
      <c r="B406" s="23" t="s">
        <v>675</v>
      </c>
      <c r="C406" s="51" t="s">
        <v>679</v>
      </c>
      <c r="D406" s="32"/>
      <c r="E406" s="35" t="s">
        <v>462</v>
      </c>
      <c r="F406" s="32"/>
      <c r="G406" s="37" t="s">
        <v>462</v>
      </c>
      <c r="H406" s="32" t="s">
        <v>16</v>
      </c>
      <c r="I406" s="38" t="str">
        <f t="shared" si="17"/>
        <v>Pass</v>
      </c>
      <c r="J406" s="39" t="s">
        <v>247</v>
      </c>
      <c r="K406" s="40"/>
      <c r="L406" s="52"/>
      <c r="M406" s="52"/>
      <c r="N406" s="53"/>
      <c r="O406" s="43" t="s">
        <v>54</v>
      </c>
    </row>
    <row r="407" spans="1:15" s="22" customFormat="1" ht="26.25">
      <c r="A407" s="32">
        <f>SUBTOTAL(103,$B$2:B407)*1</f>
        <v>406</v>
      </c>
      <c r="B407" s="23" t="s">
        <v>675</v>
      </c>
      <c r="C407" s="33" t="s">
        <v>680</v>
      </c>
      <c r="D407" s="32"/>
      <c r="E407" s="35" t="s">
        <v>681</v>
      </c>
      <c r="F407" s="32"/>
      <c r="G407" s="37" t="s">
        <v>681</v>
      </c>
      <c r="H407" s="32" t="s">
        <v>16</v>
      </c>
      <c r="I407" s="38" t="str">
        <f t="shared" si="17"/>
        <v>Pass</v>
      </c>
      <c r="J407" s="39" t="s">
        <v>247</v>
      </c>
      <c r="K407" s="40"/>
      <c r="L407" s="52"/>
      <c r="M407" s="52"/>
      <c r="N407" s="53"/>
      <c r="O407" s="43" t="s">
        <v>54</v>
      </c>
    </row>
    <row r="408" spans="1:15" s="22" customFormat="1" ht="26.25">
      <c r="A408" s="32">
        <f>SUBTOTAL(103,$B$2:B408)*1</f>
        <v>407</v>
      </c>
      <c r="B408" s="23" t="s">
        <v>216</v>
      </c>
      <c r="C408" s="51" t="s">
        <v>682</v>
      </c>
      <c r="D408" s="32"/>
      <c r="E408" s="35" t="s">
        <v>462</v>
      </c>
      <c r="F408" s="32"/>
      <c r="G408" s="37" t="s">
        <v>462</v>
      </c>
      <c r="H408" s="32" t="s">
        <v>16</v>
      </c>
      <c r="I408" s="38" t="str">
        <f t="shared" si="17"/>
        <v>Pass</v>
      </c>
      <c r="J408" s="39" t="s">
        <v>247</v>
      </c>
      <c r="K408" s="40"/>
      <c r="L408" s="53"/>
      <c r="M408" s="53"/>
      <c r="N408" s="53"/>
      <c r="O408" s="43"/>
    </row>
    <row r="409" spans="1:15" s="22" customFormat="1" ht="26.25">
      <c r="A409" s="32">
        <f>SUBTOTAL(103,$B$2:B409)*1</f>
        <v>408</v>
      </c>
      <c r="B409" s="23" t="s">
        <v>683</v>
      </c>
      <c r="C409" s="23" t="s">
        <v>684</v>
      </c>
      <c r="D409" s="32"/>
      <c r="E409" s="35" t="s">
        <v>448</v>
      </c>
      <c r="F409" s="32"/>
      <c r="G409" s="37" t="s">
        <v>448</v>
      </c>
      <c r="H409" s="32" t="s">
        <v>16</v>
      </c>
      <c r="I409" s="38" t="str">
        <f>IF(G409="","",IF(G409=E409,"Pass",""))</f>
        <v>Pass</v>
      </c>
      <c r="J409" s="39" t="s">
        <v>247</v>
      </c>
      <c r="K409" s="40"/>
      <c r="L409" s="52"/>
      <c r="M409" s="52"/>
      <c r="N409" s="46" t="s">
        <v>685</v>
      </c>
      <c r="O409" s="43"/>
    </row>
    <row r="410" spans="1:15" s="22" customFormat="1" ht="26.25">
      <c r="A410" s="32">
        <f>SUBTOTAL(103,$B$2:B410)*1</f>
        <v>409</v>
      </c>
      <c r="B410" s="23" t="s">
        <v>683</v>
      </c>
      <c r="C410" s="23" t="s">
        <v>686</v>
      </c>
      <c r="D410" s="32"/>
      <c r="E410" s="35">
        <v>1</v>
      </c>
      <c r="F410" s="32"/>
      <c r="G410" s="37">
        <v>1</v>
      </c>
      <c r="H410" s="32" t="s">
        <v>16</v>
      </c>
      <c r="I410" s="38" t="str">
        <f>IF(G410="","",IF(G410=E410,"Pass","Fail"))</f>
        <v>Pass</v>
      </c>
      <c r="J410" s="39" t="s">
        <v>247</v>
      </c>
      <c r="K410" s="40"/>
      <c r="L410" s="52"/>
      <c r="M410" s="52"/>
      <c r="N410" s="46" t="s">
        <v>685</v>
      </c>
      <c r="O410" s="43"/>
    </row>
    <row r="411" spans="1:15" s="22" customFormat="1" ht="26.25">
      <c r="A411" s="32">
        <f>SUBTOTAL(103,$B$2:B411)*1</f>
        <v>410</v>
      </c>
      <c r="B411" s="23" t="s">
        <v>683</v>
      </c>
      <c r="C411" s="23" t="s">
        <v>687</v>
      </c>
      <c r="D411" s="32"/>
      <c r="E411" s="35" t="s">
        <v>448</v>
      </c>
      <c r="F411" s="32"/>
      <c r="G411" s="37" t="s">
        <v>448</v>
      </c>
      <c r="H411" s="32" t="s">
        <v>16</v>
      </c>
      <c r="I411" s="38" t="str">
        <f>IF(G411="","",IF(G411=E411,"Pass","Fail"))</f>
        <v>Pass</v>
      </c>
      <c r="J411" s="39" t="s">
        <v>247</v>
      </c>
      <c r="K411" s="40"/>
      <c r="L411" s="52"/>
      <c r="M411" s="52"/>
      <c r="N411" s="46" t="s">
        <v>685</v>
      </c>
      <c r="O411" s="43"/>
    </row>
    <row r="412" spans="1:15" s="22" customFormat="1" ht="26.25">
      <c r="A412" s="32">
        <f>SUBTOTAL(103,$B$2:B412)*1</f>
        <v>411</v>
      </c>
      <c r="B412" s="23" t="s">
        <v>683</v>
      </c>
      <c r="C412" s="23" t="s">
        <v>688</v>
      </c>
      <c r="D412" s="32"/>
      <c r="E412" s="35" t="s">
        <v>16</v>
      </c>
      <c r="F412" s="32"/>
      <c r="G412" s="37">
        <v>201.3</v>
      </c>
      <c r="H412" s="32" t="s">
        <v>18</v>
      </c>
      <c r="I412" s="38" t="s">
        <v>19</v>
      </c>
      <c r="J412" s="39" t="s">
        <v>247</v>
      </c>
      <c r="K412" s="40"/>
      <c r="L412" s="52"/>
      <c r="M412" s="52"/>
      <c r="N412" s="46" t="s">
        <v>685</v>
      </c>
      <c r="O412" s="43"/>
    </row>
    <row r="413" spans="1:15" s="22" customFormat="1" ht="26.25">
      <c r="A413" s="32">
        <f>SUBTOTAL(103,$B$2:B413)*1</f>
        <v>411</v>
      </c>
      <c r="B413" s="53"/>
      <c r="C413" s="53"/>
      <c r="D413" s="32"/>
      <c r="E413" s="35"/>
      <c r="F413" s="32"/>
      <c r="G413" s="37"/>
      <c r="H413" s="32"/>
      <c r="I413" s="38"/>
      <c r="J413" s="52"/>
      <c r="K413" s="52"/>
      <c r="L413" s="52"/>
      <c r="M413" s="52"/>
      <c r="N413" s="53"/>
      <c r="O413" s="28"/>
    </row>
    <row r="414" spans="1:15" s="22" customFormat="1" ht="26.25">
      <c r="A414" s="32">
        <f>SUBTOTAL(103,$B$2:B414)*1</f>
        <v>411</v>
      </c>
      <c r="B414" s="53"/>
      <c r="C414" s="53"/>
      <c r="D414" s="32"/>
      <c r="E414" s="35"/>
      <c r="F414" s="32"/>
      <c r="G414" s="37"/>
      <c r="H414" s="32"/>
      <c r="I414" s="38"/>
      <c r="J414" s="52"/>
      <c r="K414" s="52"/>
      <c r="L414" s="52"/>
      <c r="M414" s="52"/>
      <c r="N414" s="53"/>
      <c r="O414" s="28"/>
    </row>
    <row r="415" spans="1:15" s="22" customFormat="1" ht="26.25">
      <c r="A415" s="32">
        <f>SUBTOTAL(103,$B$2:B415)*1</f>
        <v>411</v>
      </c>
      <c r="B415" s="53"/>
      <c r="C415" s="53"/>
      <c r="D415" s="32"/>
      <c r="E415" s="35"/>
      <c r="F415" s="32"/>
      <c r="G415" s="37"/>
      <c r="H415" s="32"/>
      <c r="I415" s="38"/>
      <c r="J415" s="52"/>
      <c r="K415" s="52"/>
      <c r="L415" s="52"/>
      <c r="M415" s="52"/>
      <c r="N415" s="53"/>
      <c r="O415" s="28"/>
    </row>
    <row r="416" spans="1:15" s="22" customFormat="1" ht="26.25">
      <c r="A416" s="32">
        <f>SUBTOTAL(103,$B$2:B416)*1</f>
        <v>411</v>
      </c>
      <c r="B416" s="53"/>
      <c r="C416" s="53"/>
      <c r="D416" s="32"/>
      <c r="E416" s="35"/>
      <c r="F416" s="32"/>
      <c r="G416" s="37"/>
      <c r="H416" s="32"/>
      <c r="I416" s="38"/>
      <c r="J416" s="52"/>
      <c r="K416" s="52"/>
      <c r="L416" s="52"/>
      <c r="M416" s="52"/>
      <c r="N416" s="53"/>
      <c r="O416" s="28"/>
    </row>
    <row r="417" spans="1:15" s="22" customFormat="1" ht="26.25">
      <c r="A417" s="32">
        <f>SUBTOTAL(103,$B$2:B417)*1</f>
        <v>411</v>
      </c>
      <c r="B417" s="53"/>
      <c r="C417" s="53"/>
      <c r="D417" s="32"/>
      <c r="E417" s="35"/>
      <c r="F417" s="32"/>
      <c r="G417" s="37"/>
      <c r="H417" s="32"/>
      <c r="I417" s="38"/>
      <c r="J417" s="52"/>
      <c r="K417" s="52"/>
      <c r="L417" s="52"/>
      <c r="M417" s="52"/>
      <c r="N417" s="53"/>
      <c r="O417" s="28"/>
    </row>
    <row r="418" spans="1:15" s="22" customFormat="1" ht="26.25">
      <c r="A418" s="32">
        <f>SUBTOTAL(103,$B$2:B418)*1</f>
        <v>411</v>
      </c>
      <c r="B418" s="53"/>
      <c r="C418" s="53"/>
      <c r="D418" s="32"/>
      <c r="E418" s="35"/>
      <c r="F418" s="32"/>
      <c r="G418" s="37"/>
      <c r="H418" s="32"/>
      <c r="I418" s="38"/>
      <c r="J418" s="52"/>
      <c r="K418" s="52"/>
      <c r="L418" s="52"/>
      <c r="M418" s="52"/>
      <c r="N418" s="53"/>
      <c r="O418" s="28"/>
    </row>
    <row r="419" spans="1:15" s="22" customFormat="1" ht="26.25">
      <c r="A419" s="32">
        <f>SUBTOTAL(103,$B$2:B419)*1</f>
        <v>411</v>
      </c>
      <c r="B419" s="53"/>
      <c r="C419" s="53"/>
      <c r="D419" s="32"/>
      <c r="E419" s="35"/>
      <c r="F419" s="32"/>
      <c r="G419" s="37"/>
      <c r="H419" s="32"/>
      <c r="I419" s="38"/>
      <c r="J419" s="52"/>
      <c r="K419" s="52"/>
      <c r="L419" s="52"/>
      <c r="M419" s="52"/>
      <c r="N419" s="53"/>
      <c r="O419" s="28"/>
    </row>
    <row r="420" spans="1:15" s="22" customFormat="1" ht="26.25">
      <c r="A420" s="32">
        <f>SUBTOTAL(103,$B$2:B420)*1</f>
        <v>411</v>
      </c>
      <c r="B420" s="53"/>
      <c r="C420" s="53"/>
      <c r="D420" s="32"/>
      <c r="E420" s="35"/>
      <c r="F420" s="32"/>
      <c r="G420" s="37"/>
      <c r="H420" s="32"/>
      <c r="I420" s="38"/>
      <c r="J420" s="52"/>
      <c r="K420" s="52"/>
      <c r="L420" s="52"/>
      <c r="M420" s="52"/>
      <c r="N420" s="53"/>
      <c r="O420" s="28"/>
    </row>
    <row r="421" spans="1:15" s="22" customFormat="1" ht="26.25">
      <c r="A421" s="32">
        <f>SUBTOTAL(103,$B$2:B421)*1</f>
        <v>411</v>
      </c>
      <c r="B421" s="53"/>
      <c r="C421" s="53"/>
      <c r="D421" s="32"/>
      <c r="E421" s="35"/>
      <c r="F421" s="32"/>
      <c r="G421" s="37"/>
      <c r="H421" s="32"/>
      <c r="I421" s="38"/>
      <c r="J421" s="52"/>
      <c r="K421" s="52"/>
      <c r="L421" s="52"/>
      <c r="M421" s="52"/>
      <c r="N421" s="53"/>
      <c r="O421" s="28"/>
    </row>
    <row r="422" spans="1:15" s="22" customFormat="1" ht="26.25">
      <c r="A422" s="32">
        <f>SUBTOTAL(103,$B$2:B422)*1</f>
        <v>411</v>
      </c>
      <c r="B422" s="53"/>
      <c r="C422" s="53"/>
      <c r="D422" s="32"/>
      <c r="E422" s="35"/>
      <c r="F422" s="32"/>
      <c r="G422" s="37"/>
      <c r="H422" s="32"/>
      <c r="I422" s="38"/>
      <c r="J422" s="52"/>
      <c r="K422" s="52"/>
      <c r="L422" s="52"/>
      <c r="M422" s="52"/>
      <c r="N422" s="53"/>
      <c r="O422" s="28"/>
    </row>
    <row r="423" spans="1:15" s="22" customFormat="1" ht="26.25">
      <c r="A423" s="32">
        <f>SUBTOTAL(103,$B$2:B423)*1</f>
        <v>411</v>
      </c>
      <c r="B423" s="53"/>
      <c r="C423" s="53"/>
      <c r="D423" s="32"/>
      <c r="E423" s="35"/>
      <c r="F423" s="32"/>
      <c r="G423" s="37"/>
      <c r="H423" s="32"/>
      <c r="I423" s="38"/>
      <c r="J423" s="52"/>
      <c r="K423" s="52"/>
      <c r="L423" s="52"/>
      <c r="M423" s="52"/>
      <c r="N423" s="53"/>
      <c r="O423" s="28"/>
    </row>
    <row r="424" spans="1:15" s="22" customFormat="1" ht="26.25">
      <c r="A424" s="32">
        <f>SUBTOTAL(103,$B$2:B424)*1</f>
        <v>411</v>
      </c>
      <c r="B424" s="53"/>
      <c r="C424" s="53"/>
      <c r="D424" s="32"/>
      <c r="E424" s="35"/>
      <c r="F424" s="32"/>
      <c r="G424" s="37"/>
      <c r="H424" s="32"/>
      <c r="I424" s="38"/>
      <c r="J424" s="52"/>
      <c r="K424" s="52"/>
      <c r="L424" s="52"/>
      <c r="M424" s="52"/>
      <c r="N424" s="53"/>
      <c r="O424" s="28"/>
    </row>
    <row r="425" spans="1:15" s="22" customFormat="1" ht="26.25">
      <c r="A425" s="32">
        <f>SUBTOTAL(103,$B$2:B425)*1</f>
        <v>411</v>
      </c>
      <c r="B425" s="53"/>
      <c r="C425" s="53"/>
      <c r="D425" s="32"/>
      <c r="E425" s="35"/>
      <c r="F425" s="32"/>
      <c r="G425" s="37"/>
      <c r="H425" s="32"/>
      <c r="I425" s="38"/>
      <c r="J425" s="52"/>
      <c r="K425" s="52"/>
      <c r="L425" s="52"/>
      <c r="M425" s="52"/>
      <c r="N425" s="53"/>
      <c r="O425" s="28"/>
    </row>
    <row r="426" spans="1:15" s="22" customFormat="1" ht="26.25">
      <c r="A426" s="32">
        <f>SUBTOTAL(103,$B$2:B426)*1</f>
        <v>411</v>
      </c>
      <c r="B426" s="53"/>
      <c r="C426" s="53"/>
      <c r="D426" s="32"/>
      <c r="E426" s="35"/>
      <c r="F426" s="32"/>
      <c r="G426" s="37"/>
      <c r="H426" s="32"/>
      <c r="I426" s="38"/>
      <c r="J426" s="52"/>
      <c r="K426" s="52"/>
      <c r="L426" s="52"/>
      <c r="M426" s="52"/>
      <c r="N426" s="53"/>
      <c r="O426" s="28"/>
    </row>
    <row r="427" spans="1:15" s="22" customFormat="1" ht="26.25">
      <c r="A427" s="32">
        <f>SUBTOTAL(103,$B$2:B427)*1</f>
        <v>411</v>
      </c>
      <c r="B427" s="53"/>
      <c r="C427" s="53"/>
      <c r="D427" s="32"/>
      <c r="E427" s="35"/>
      <c r="F427" s="32"/>
      <c r="G427" s="37"/>
      <c r="H427" s="32"/>
      <c r="I427" s="38"/>
      <c r="J427" s="52"/>
      <c r="K427" s="52"/>
      <c r="L427" s="52"/>
      <c r="M427" s="52"/>
      <c r="N427" s="53"/>
      <c r="O427" s="28"/>
    </row>
    <row r="428" spans="1:15" s="22" customFormat="1" ht="26.25">
      <c r="A428" s="32">
        <f>SUBTOTAL(103,$B$2:B428)*1</f>
        <v>411</v>
      </c>
      <c r="B428" s="53"/>
      <c r="C428" s="53"/>
      <c r="D428" s="32"/>
      <c r="E428" s="35"/>
      <c r="F428" s="32"/>
      <c r="G428" s="37"/>
      <c r="H428" s="32"/>
      <c r="I428" s="38"/>
      <c r="J428" s="52"/>
      <c r="K428" s="52"/>
      <c r="L428" s="52"/>
      <c r="M428" s="52"/>
      <c r="N428" s="53"/>
      <c r="O428" s="28"/>
    </row>
    <row r="429" spans="1:15" s="22" customFormat="1" ht="26.25">
      <c r="A429" s="32">
        <f>SUBTOTAL(103,$B$2:B429)*1</f>
        <v>411</v>
      </c>
      <c r="B429" s="53"/>
      <c r="C429" s="53"/>
      <c r="D429" s="32"/>
      <c r="E429" s="35"/>
      <c r="F429" s="32"/>
      <c r="G429" s="37"/>
      <c r="H429" s="32"/>
      <c r="I429" s="38"/>
      <c r="J429" s="52"/>
      <c r="K429" s="52"/>
      <c r="L429" s="52"/>
      <c r="M429" s="52"/>
      <c r="N429" s="53"/>
      <c r="O429" s="28"/>
    </row>
    <row r="430" spans="1:15" s="22" customFormat="1" ht="26.25">
      <c r="A430" s="32">
        <f>SUBTOTAL(103,$B$2:B430)*1</f>
        <v>411</v>
      </c>
      <c r="B430" s="53"/>
      <c r="C430" s="53"/>
      <c r="D430" s="32"/>
      <c r="E430" s="35"/>
      <c r="F430" s="32"/>
      <c r="G430" s="37"/>
      <c r="H430" s="32"/>
      <c r="I430" s="38"/>
      <c r="J430" s="52"/>
      <c r="K430" s="52"/>
      <c r="L430" s="52"/>
      <c r="M430" s="52"/>
      <c r="N430" s="53"/>
      <c r="O430" s="28"/>
    </row>
    <row r="431" spans="1:15" s="22" customFormat="1" ht="26.25">
      <c r="A431" s="32">
        <f>SUBTOTAL(103,$B$2:B431)*1</f>
        <v>411</v>
      </c>
      <c r="B431" s="53"/>
      <c r="C431" s="53"/>
      <c r="D431" s="32"/>
      <c r="E431" s="35"/>
      <c r="F431" s="32"/>
      <c r="G431" s="37"/>
      <c r="H431" s="32"/>
      <c r="I431" s="38"/>
      <c r="J431" s="52"/>
      <c r="K431" s="52"/>
      <c r="L431" s="52"/>
      <c r="M431" s="52"/>
      <c r="N431" s="53"/>
      <c r="O431" s="28"/>
    </row>
    <row r="432" spans="1:15" s="22" customFormat="1" ht="26.25">
      <c r="A432" s="32">
        <f>SUBTOTAL(103,$B$2:B432)*1</f>
        <v>411</v>
      </c>
      <c r="B432" s="53"/>
      <c r="C432" s="53"/>
      <c r="D432" s="32"/>
      <c r="E432" s="35"/>
      <c r="F432" s="32"/>
      <c r="G432" s="37"/>
      <c r="H432" s="32"/>
      <c r="I432" s="38"/>
      <c r="J432" s="52"/>
      <c r="K432" s="52"/>
      <c r="L432" s="52"/>
      <c r="M432" s="52"/>
      <c r="N432" s="53"/>
      <c r="O432" s="28"/>
    </row>
    <row r="433" spans="1:15" s="22" customFormat="1" ht="26.25">
      <c r="A433" s="32">
        <f>SUBTOTAL(103,$B$2:B433)*1</f>
        <v>411</v>
      </c>
      <c r="B433" s="53"/>
      <c r="C433" s="53"/>
      <c r="D433" s="32"/>
      <c r="E433" s="35"/>
      <c r="F433" s="32"/>
      <c r="G433" s="37"/>
      <c r="H433" s="32"/>
      <c r="I433" s="38"/>
      <c r="J433" s="52"/>
      <c r="K433" s="52"/>
      <c r="L433" s="52"/>
      <c r="M433" s="52"/>
      <c r="N433" s="53"/>
      <c r="O433" s="28"/>
    </row>
    <row r="434" spans="1:15" s="22" customFormat="1" ht="26.25">
      <c r="A434" s="32">
        <f>SUBTOTAL(103,$B$2:B434)*1</f>
        <v>411</v>
      </c>
      <c r="B434" s="53"/>
      <c r="C434" s="53"/>
      <c r="D434" s="32"/>
      <c r="E434" s="35"/>
      <c r="F434" s="32"/>
      <c r="G434" s="37"/>
      <c r="H434" s="32"/>
      <c r="I434" s="38"/>
      <c r="J434" s="52"/>
      <c r="K434" s="52"/>
      <c r="L434" s="52"/>
      <c r="M434" s="52"/>
      <c r="N434" s="53"/>
      <c r="O434" s="28"/>
    </row>
    <row r="435" spans="1:15" s="22" customFormat="1" ht="26.25">
      <c r="A435" s="32">
        <f>SUBTOTAL(103,$B$2:B435)*1</f>
        <v>411</v>
      </c>
      <c r="B435" s="53"/>
      <c r="C435" s="53"/>
      <c r="D435" s="32"/>
      <c r="E435" s="35"/>
      <c r="F435" s="32"/>
      <c r="G435" s="37"/>
      <c r="H435" s="32"/>
      <c r="I435" s="38"/>
      <c r="J435" s="52"/>
      <c r="K435" s="52"/>
      <c r="L435" s="52"/>
      <c r="M435" s="52"/>
      <c r="N435" s="53"/>
      <c r="O435" s="28"/>
    </row>
    <row r="436" spans="1:15" s="22" customFormat="1" ht="26.25">
      <c r="A436" s="32">
        <f>SUBTOTAL(103,$B$2:B436)*1</f>
        <v>411</v>
      </c>
      <c r="B436" s="53"/>
      <c r="C436" s="53"/>
      <c r="D436" s="32"/>
      <c r="E436" s="35"/>
      <c r="F436" s="32"/>
      <c r="G436" s="37"/>
      <c r="H436" s="32"/>
      <c r="I436" s="38"/>
      <c r="J436" s="52"/>
      <c r="K436" s="52"/>
      <c r="L436" s="52"/>
      <c r="M436" s="52"/>
      <c r="N436" s="53"/>
      <c r="O436" s="28"/>
    </row>
    <row r="437" spans="1:15" s="22" customFormat="1" ht="26.25">
      <c r="A437" s="32">
        <f>SUBTOTAL(103,$B$2:B437)*1</f>
        <v>411</v>
      </c>
      <c r="B437" s="53"/>
      <c r="C437" s="53"/>
      <c r="D437" s="32"/>
      <c r="E437" s="35"/>
      <c r="F437" s="32"/>
      <c r="G437" s="37"/>
      <c r="H437" s="32"/>
      <c r="I437" s="38"/>
      <c r="J437" s="52"/>
      <c r="K437" s="52"/>
      <c r="L437" s="52"/>
      <c r="M437" s="52"/>
      <c r="N437" s="53"/>
      <c r="O437" s="28"/>
    </row>
    <row r="438" spans="1:15" s="22" customFormat="1" ht="26.25">
      <c r="A438" s="32">
        <f>SUBTOTAL(103,$B$2:B438)*1</f>
        <v>411</v>
      </c>
      <c r="B438" s="53"/>
      <c r="C438" s="53"/>
      <c r="D438" s="32"/>
      <c r="E438" s="35"/>
      <c r="F438" s="32"/>
      <c r="G438" s="37"/>
      <c r="H438" s="32"/>
      <c r="I438" s="38"/>
      <c r="J438" s="52"/>
      <c r="K438" s="52"/>
      <c r="L438" s="52"/>
      <c r="M438" s="52"/>
      <c r="N438" s="53"/>
      <c r="O438" s="28"/>
    </row>
    <row r="439" spans="1:15" s="22" customFormat="1" ht="26.25">
      <c r="A439" s="32">
        <f>SUBTOTAL(103,$B$2:B439)*1</f>
        <v>411</v>
      </c>
      <c r="B439" s="53"/>
      <c r="C439" s="53"/>
      <c r="D439" s="32"/>
      <c r="E439" s="35"/>
      <c r="F439" s="32"/>
      <c r="G439" s="37"/>
      <c r="H439" s="32"/>
      <c r="I439" s="38"/>
      <c r="J439" s="52"/>
      <c r="K439" s="52"/>
      <c r="L439" s="52"/>
      <c r="M439" s="52"/>
      <c r="N439" s="53"/>
      <c r="O439" s="28"/>
    </row>
    <row r="440" spans="1:15" s="22" customFormat="1" ht="26.25">
      <c r="A440" s="32">
        <f>SUBTOTAL(103,$B$2:B440)*1</f>
        <v>411</v>
      </c>
      <c r="B440" s="53"/>
      <c r="C440" s="53"/>
      <c r="D440" s="32"/>
      <c r="E440" s="35"/>
      <c r="F440" s="32"/>
      <c r="G440" s="37"/>
      <c r="H440" s="32"/>
      <c r="I440" s="38"/>
      <c r="J440" s="52"/>
      <c r="K440" s="52"/>
      <c r="L440" s="52"/>
      <c r="M440" s="52"/>
      <c r="N440" s="53"/>
      <c r="O440" s="28"/>
    </row>
    <row r="441" spans="1:15" s="22" customFormat="1" ht="26.25">
      <c r="A441" s="32">
        <f>SUBTOTAL(103,$B$2:B441)*1</f>
        <v>411</v>
      </c>
      <c r="B441" s="53"/>
      <c r="C441" s="53"/>
      <c r="D441" s="32"/>
      <c r="E441" s="35"/>
      <c r="F441" s="32"/>
      <c r="G441" s="37"/>
      <c r="H441" s="32"/>
      <c r="I441" s="38"/>
      <c r="J441" s="52"/>
      <c r="K441" s="52"/>
      <c r="L441" s="52"/>
      <c r="M441" s="52"/>
      <c r="N441" s="53"/>
      <c r="O441" s="28"/>
    </row>
    <row r="442" spans="1:15" s="22" customFormat="1" ht="26.25">
      <c r="A442" s="32">
        <f>SUBTOTAL(103,$B$2:B442)*1</f>
        <v>411</v>
      </c>
      <c r="B442" s="53"/>
      <c r="C442" s="53"/>
      <c r="D442" s="32"/>
      <c r="E442" s="35"/>
      <c r="F442" s="32"/>
      <c r="G442" s="37"/>
      <c r="H442" s="32"/>
      <c r="I442" s="38"/>
      <c r="J442" s="52"/>
      <c r="K442" s="52"/>
      <c r="L442" s="52"/>
      <c r="M442" s="52"/>
      <c r="N442" s="53"/>
      <c r="O442" s="28"/>
    </row>
    <row r="443" spans="1:15" s="22" customFormat="1" ht="26.25">
      <c r="A443" s="32">
        <f>SUBTOTAL(103,$B$2:B443)*1</f>
        <v>411</v>
      </c>
      <c r="B443" s="53"/>
      <c r="C443" s="53"/>
      <c r="D443" s="32"/>
      <c r="E443" s="35"/>
      <c r="F443" s="32"/>
      <c r="G443" s="37"/>
      <c r="H443" s="32"/>
      <c r="I443" s="38"/>
      <c r="J443" s="52"/>
      <c r="K443" s="52"/>
      <c r="L443" s="52"/>
      <c r="M443" s="52"/>
      <c r="N443" s="53"/>
      <c r="O443" s="28"/>
    </row>
    <row r="444" spans="1:15" s="22" customFormat="1" ht="26.25">
      <c r="A444" s="32">
        <f>SUBTOTAL(103,$B$2:B444)*1</f>
        <v>411</v>
      </c>
      <c r="B444" s="53"/>
      <c r="C444" s="53"/>
      <c r="D444" s="32"/>
      <c r="E444" s="35"/>
      <c r="F444" s="32"/>
      <c r="G444" s="37"/>
      <c r="H444" s="32"/>
      <c r="I444" s="38"/>
      <c r="J444" s="52"/>
      <c r="K444" s="52"/>
      <c r="L444" s="52"/>
      <c r="M444" s="52"/>
      <c r="N444" s="53"/>
      <c r="O444" s="28"/>
    </row>
    <row r="445" spans="1:15" s="22" customFormat="1" ht="26.25">
      <c r="A445" s="32">
        <f>SUBTOTAL(103,$B$2:B445)*1</f>
        <v>411</v>
      </c>
      <c r="B445" s="53"/>
      <c r="C445" s="53"/>
      <c r="D445" s="32"/>
      <c r="E445" s="35"/>
      <c r="F445" s="32"/>
      <c r="G445" s="37"/>
      <c r="H445" s="32"/>
      <c r="I445" s="38"/>
      <c r="J445" s="52"/>
      <c r="K445" s="52"/>
      <c r="L445" s="52"/>
      <c r="M445" s="52"/>
      <c r="N445" s="53"/>
      <c r="O445" s="28"/>
    </row>
    <row r="446" spans="1:15" s="22" customFormat="1" ht="26.25">
      <c r="A446" s="32">
        <f>SUBTOTAL(103,$B$2:B446)*1</f>
        <v>411</v>
      </c>
      <c r="B446" s="53"/>
      <c r="C446" s="53"/>
      <c r="D446" s="32"/>
      <c r="E446" s="35"/>
      <c r="F446" s="32"/>
      <c r="G446" s="37"/>
      <c r="H446" s="32"/>
      <c r="I446" s="38"/>
      <c r="J446" s="52"/>
      <c r="K446" s="52"/>
      <c r="L446" s="52"/>
      <c r="M446" s="52"/>
      <c r="N446" s="53"/>
      <c r="O446" s="28"/>
    </row>
    <row r="447" spans="1:15" s="22" customFormat="1" ht="26.25">
      <c r="A447" s="32">
        <f>SUBTOTAL(103,$B$2:B447)*1</f>
        <v>411</v>
      </c>
      <c r="B447" s="53"/>
      <c r="C447" s="53"/>
      <c r="D447" s="32"/>
      <c r="E447" s="35"/>
      <c r="F447" s="32"/>
      <c r="G447" s="37"/>
      <c r="H447" s="32"/>
      <c r="I447" s="38"/>
      <c r="J447" s="52"/>
      <c r="K447" s="52"/>
      <c r="L447" s="52"/>
      <c r="M447" s="52"/>
      <c r="N447" s="53"/>
      <c r="O447" s="28"/>
    </row>
    <row r="448" spans="1:15" s="22" customFormat="1" ht="26.25">
      <c r="A448" s="32">
        <f>SUBTOTAL(103,$B$2:B448)*1</f>
        <v>411</v>
      </c>
      <c r="B448" s="53"/>
      <c r="C448" s="53"/>
      <c r="D448" s="32"/>
      <c r="E448" s="35"/>
      <c r="F448" s="32"/>
      <c r="G448" s="37"/>
      <c r="H448" s="32"/>
      <c r="I448" s="38"/>
      <c r="J448" s="52"/>
      <c r="K448" s="52"/>
      <c r="L448" s="52"/>
      <c r="M448" s="52"/>
      <c r="N448" s="53"/>
      <c r="O448" s="28"/>
    </row>
    <row r="449" spans="1:15" s="22" customFormat="1" ht="26.25">
      <c r="A449" s="32">
        <f>SUBTOTAL(103,$B$2:B449)*1</f>
        <v>411</v>
      </c>
      <c r="B449" s="53"/>
      <c r="C449" s="53"/>
      <c r="D449" s="32"/>
      <c r="E449" s="35"/>
      <c r="F449" s="32"/>
      <c r="G449" s="37"/>
      <c r="H449" s="32"/>
      <c r="I449" s="38"/>
      <c r="J449" s="52"/>
      <c r="K449" s="52"/>
      <c r="L449" s="52"/>
      <c r="M449" s="52"/>
      <c r="N449" s="53"/>
      <c r="O449" s="28"/>
    </row>
    <row r="450" spans="1:15" s="22" customFormat="1" ht="26.25">
      <c r="A450" s="32">
        <f>SUBTOTAL(103,$B$2:B450)*1</f>
        <v>411</v>
      </c>
      <c r="B450" s="53"/>
      <c r="C450" s="53"/>
      <c r="D450" s="32"/>
      <c r="E450" s="35"/>
      <c r="F450" s="32"/>
      <c r="G450" s="37"/>
      <c r="H450" s="32"/>
      <c r="I450" s="38"/>
      <c r="J450" s="52"/>
      <c r="K450" s="52"/>
      <c r="L450" s="52"/>
      <c r="M450" s="52"/>
      <c r="N450" s="53"/>
      <c r="O450" s="28"/>
    </row>
    <row r="451" spans="1:15" s="22" customFormat="1" ht="26.25">
      <c r="A451" s="32">
        <f>SUBTOTAL(103,$B$2:B451)*1</f>
        <v>411</v>
      </c>
      <c r="B451" s="53"/>
      <c r="C451" s="53"/>
      <c r="D451" s="32"/>
      <c r="E451" s="35"/>
      <c r="F451" s="32"/>
      <c r="G451" s="37"/>
      <c r="H451" s="32"/>
      <c r="I451" s="38"/>
      <c r="J451" s="52"/>
      <c r="K451" s="52"/>
      <c r="L451" s="52"/>
      <c r="M451" s="52"/>
      <c r="N451" s="53"/>
      <c r="O451" s="28"/>
    </row>
    <row r="452" spans="1:15" s="22" customFormat="1" ht="26.25">
      <c r="A452" s="32">
        <f>SUBTOTAL(103,$B$2:B452)*1</f>
        <v>411</v>
      </c>
      <c r="B452" s="53"/>
      <c r="C452" s="53"/>
      <c r="D452" s="32"/>
      <c r="E452" s="35"/>
      <c r="F452" s="32"/>
      <c r="G452" s="37"/>
      <c r="H452" s="32"/>
      <c r="I452" s="38"/>
      <c r="J452" s="52"/>
      <c r="K452" s="52"/>
      <c r="L452" s="52"/>
      <c r="M452" s="52"/>
      <c r="N452" s="53"/>
      <c r="O452" s="28"/>
    </row>
    <row r="453" spans="1:15" s="22" customFormat="1" ht="26.25">
      <c r="A453" s="32">
        <f>SUBTOTAL(103,$B$2:B453)*1</f>
        <v>411</v>
      </c>
      <c r="B453" s="53"/>
      <c r="C453" s="53"/>
      <c r="D453" s="32"/>
      <c r="E453" s="35"/>
      <c r="F453" s="32"/>
      <c r="G453" s="37"/>
      <c r="H453" s="32"/>
      <c r="I453" s="38"/>
      <c r="J453" s="52"/>
      <c r="K453" s="52"/>
      <c r="L453" s="52"/>
      <c r="M453" s="52"/>
      <c r="N453" s="53"/>
      <c r="O453" s="28"/>
    </row>
    <row r="454" spans="1:15" s="22" customFormat="1" ht="26.25">
      <c r="A454" s="32">
        <f>SUBTOTAL(103,$B$2:B454)*1</f>
        <v>411</v>
      </c>
      <c r="B454" s="53"/>
      <c r="C454" s="53"/>
      <c r="D454" s="32"/>
      <c r="E454" s="35"/>
      <c r="F454" s="32"/>
      <c r="G454" s="37"/>
      <c r="H454" s="32"/>
      <c r="I454" s="38"/>
      <c r="J454" s="52"/>
      <c r="K454" s="52"/>
      <c r="L454" s="52"/>
      <c r="M454" s="52"/>
      <c r="N454" s="53"/>
      <c r="O454" s="28"/>
    </row>
    <row r="455" spans="1:15" s="22" customFormat="1" ht="26.25">
      <c r="A455" s="32">
        <f>SUBTOTAL(103,$B$2:B455)*1</f>
        <v>411</v>
      </c>
      <c r="B455" s="53"/>
      <c r="C455" s="53"/>
      <c r="D455" s="32"/>
      <c r="E455" s="35"/>
      <c r="F455" s="32"/>
      <c r="G455" s="37"/>
      <c r="H455" s="32"/>
      <c r="I455" s="38"/>
      <c r="J455" s="52"/>
      <c r="K455" s="52"/>
      <c r="L455" s="52"/>
      <c r="M455" s="52"/>
      <c r="N455" s="53"/>
      <c r="O455" s="28"/>
    </row>
    <row r="456" spans="1:15" s="22" customFormat="1" ht="26.25">
      <c r="A456" s="32">
        <f>SUBTOTAL(103,$B$2:B456)*1</f>
        <v>411</v>
      </c>
      <c r="B456" s="53"/>
      <c r="C456" s="53"/>
      <c r="D456" s="32"/>
      <c r="E456" s="35"/>
      <c r="F456" s="32"/>
      <c r="G456" s="37"/>
      <c r="H456" s="32"/>
      <c r="I456" s="38"/>
      <c r="J456" s="52"/>
      <c r="K456" s="52"/>
      <c r="L456" s="52"/>
      <c r="M456" s="52"/>
      <c r="N456" s="53"/>
      <c r="O456" s="28"/>
    </row>
    <row r="457" spans="1:15" s="22" customFormat="1" ht="26.25">
      <c r="A457" s="32">
        <f>SUBTOTAL(103,$B$2:B457)*1</f>
        <v>411</v>
      </c>
      <c r="B457" s="53"/>
      <c r="C457" s="53"/>
      <c r="D457" s="32"/>
      <c r="E457" s="35"/>
      <c r="F457" s="32"/>
      <c r="G457" s="37"/>
      <c r="H457" s="32"/>
      <c r="I457" s="38"/>
      <c r="J457" s="52"/>
      <c r="K457" s="52"/>
      <c r="L457" s="52"/>
      <c r="M457" s="52"/>
      <c r="N457" s="53"/>
      <c r="O457" s="28"/>
    </row>
    <row r="458" spans="1:15" s="22" customFormat="1" ht="26.25">
      <c r="A458" s="32">
        <f>SUBTOTAL(103,$B$2:B458)*1</f>
        <v>411</v>
      </c>
      <c r="B458" s="53"/>
      <c r="C458" s="53"/>
      <c r="D458" s="32"/>
      <c r="E458" s="35"/>
      <c r="F458" s="32"/>
      <c r="G458" s="37"/>
      <c r="H458" s="32"/>
      <c r="I458" s="38"/>
      <c r="J458" s="52"/>
      <c r="K458" s="52"/>
      <c r="L458" s="52"/>
      <c r="M458" s="52"/>
      <c r="N458" s="53"/>
      <c r="O458" s="28"/>
    </row>
    <row r="459" spans="1:15" s="22" customFormat="1" ht="26.25">
      <c r="A459" s="32">
        <f>SUBTOTAL(103,$B$2:B459)*1</f>
        <v>411</v>
      </c>
      <c r="B459" s="53"/>
      <c r="C459" s="53"/>
      <c r="D459" s="32"/>
      <c r="E459" s="35"/>
      <c r="F459" s="32"/>
      <c r="G459" s="37"/>
      <c r="H459" s="32"/>
      <c r="I459" s="38"/>
      <c r="J459" s="52"/>
      <c r="K459" s="52"/>
      <c r="L459" s="52"/>
      <c r="M459" s="52"/>
      <c r="N459" s="53"/>
      <c r="O459" s="28"/>
    </row>
    <row r="460" spans="1:15" s="22" customFormat="1" ht="26.25">
      <c r="A460" s="32">
        <f>SUBTOTAL(103,$B$2:B460)*1</f>
        <v>411</v>
      </c>
      <c r="B460" s="53"/>
      <c r="C460" s="53"/>
      <c r="D460" s="32"/>
      <c r="E460" s="35"/>
      <c r="F460" s="32"/>
      <c r="G460" s="37"/>
      <c r="H460" s="32"/>
      <c r="I460" s="38"/>
      <c r="J460" s="52"/>
      <c r="K460" s="52"/>
      <c r="L460" s="52"/>
      <c r="M460" s="52"/>
      <c r="N460" s="53"/>
      <c r="O460" s="28"/>
    </row>
    <row r="461" spans="1:15" s="22" customFormat="1" ht="26.25">
      <c r="A461" s="32">
        <f>SUBTOTAL(103,$B$2:B461)*1</f>
        <v>411</v>
      </c>
      <c r="B461" s="53"/>
      <c r="C461" s="53"/>
      <c r="D461" s="32"/>
      <c r="E461" s="35"/>
      <c r="F461" s="32"/>
      <c r="G461" s="37"/>
      <c r="H461" s="32"/>
      <c r="I461" s="38"/>
      <c r="J461" s="52"/>
      <c r="K461" s="52"/>
      <c r="L461" s="52"/>
      <c r="M461" s="52"/>
      <c r="N461" s="53"/>
      <c r="O461" s="28"/>
    </row>
    <row r="462" spans="1:15" s="22" customFormat="1" ht="26.25">
      <c r="A462" s="32">
        <f>SUBTOTAL(103,$B$2:B462)*1</f>
        <v>411</v>
      </c>
      <c r="B462" s="53"/>
      <c r="C462" s="53"/>
      <c r="D462" s="32"/>
      <c r="E462" s="35"/>
      <c r="F462" s="32"/>
      <c r="G462" s="37"/>
      <c r="H462" s="32"/>
      <c r="I462" s="38"/>
      <c r="J462" s="52"/>
      <c r="K462" s="52"/>
      <c r="L462" s="52"/>
      <c r="M462" s="52"/>
      <c r="N462" s="53"/>
      <c r="O462" s="28"/>
    </row>
    <row r="463" spans="1:15" s="22" customFormat="1" ht="26.25">
      <c r="A463" s="32">
        <f>SUBTOTAL(103,$B$2:B463)*1</f>
        <v>411</v>
      </c>
      <c r="B463" s="53"/>
      <c r="C463" s="53"/>
      <c r="D463" s="32"/>
      <c r="E463" s="35"/>
      <c r="F463" s="32"/>
      <c r="G463" s="37"/>
      <c r="H463" s="32"/>
      <c r="I463" s="38"/>
      <c r="J463" s="52"/>
      <c r="K463" s="52"/>
      <c r="L463" s="52"/>
      <c r="M463" s="52"/>
      <c r="N463" s="53"/>
      <c r="O463" s="28"/>
    </row>
    <row r="464" spans="1:15" s="22" customFormat="1" ht="26.25">
      <c r="A464" s="32">
        <f>SUBTOTAL(103,$B$2:B464)*1</f>
        <v>411</v>
      </c>
      <c r="B464" s="53"/>
      <c r="C464" s="53"/>
      <c r="D464" s="32"/>
      <c r="E464" s="35"/>
      <c r="F464" s="32"/>
      <c r="G464" s="37"/>
      <c r="H464" s="32"/>
      <c r="I464" s="38"/>
      <c r="J464" s="52"/>
      <c r="K464" s="52"/>
      <c r="L464" s="52"/>
      <c r="M464" s="52"/>
      <c r="N464" s="53"/>
      <c r="O464" s="28"/>
    </row>
    <row r="465" spans="1:15" s="22" customFormat="1" ht="26.25">
      <c r="A465" s="32">
        <f>SUBTOTAL(103,$B$2:B465)*1</f>
        <v>411</v>
      </c>
      <c r="B465" s="53"/>
      <c r="C465" s="53"/>
      <c r="D465" s="32"/>
      <c r="E465" s="35"/>
      <c r="F465" s="32"/>
      <c r="G465" s="37"/>
      <c r="H465" s="32"/>
      <c r="I465" s="38"/>
      <c r="J465" s="52"/>
      <c r="K465" s="52"/>
      <c r="L465" s="52"/>
      <c r="M465" s="52"/>
      <c r="N465" s="53"/>
      <c r="O465" s="28"/>
    </row>
    <row r="466" spans="1:15" s="22" customFormat="1" ht="26.25">
      <c r="A466" s="32">
        <f>SUBTOTAL(103,$B$2:B466)*1</f>
        <v>411</v>
      </c>
      <c r="B466" s="53"/>
      <c r="C466" s="53"/>
      <c r="D466" s="32"/>
      <c r="E466" s="35"/>
      <c r="F466" s="32"/>
      <c r="G466" s="37"/>
      <c r="H466" s="32"/>
      <c r="I466" s="38"/>
      <c r="J466" s="52"/>
      <c r="K466" s="52"/>
      <c r="L466" s="52"/>
      <c r="M466" s="52"/>
      <c r="N466" s="53"/>
      <c r="O466" s="28"/>
    </row>
    <row r="467" spans="1:15" s="22" customFormat="1" ht="26.25">
      <c r="A467" s="32">
        <f>SUBTOTAL(103,$B$2:B467)*1</f>
        <v>411</v>
      </c>
      <c r="B467" s="53"/>
      <c r="C467" s="53"/>
      <c r="D467" s="32"/>
      <c r="E467" s="35"/>
      <c r="F467" s="32"/>
      <c r="G467" s="37"/>
      <c r="H467" s="32"/>
      <c r="I467" s="38"/>
      <c r="J467" s="52"/>
      <c r="K467" s="52"/>
      <c r="L467" s="52"/>
      <c r="M467" s="52"/>
      <c r="N467" s="53"/>
      <c r="O467" s="28"/>
    </row>
    <row r="468" spans="1:15" s="22" customFormat="1" ht="26.25">
      <c r="A468" s="32">
        <f>SUBTOTAL(103,$B$2:B468)*1</f>
        <v>411</v>
      </c>
      <c r="B468" s="53"/>
      <c r="C468" s="53"/>
      <c r="D468" s="32"/>
      <c r="E468" s="35"/>
      <c r="F468" s="32"/>
      <c r="G468" s="37"/>
      <c r="H468" s="32"/>
      <c r="I468" s="38"/>
      <c r="J468" s="52"/>
      <c r="K468" s="52"/>
      <c r="L468" s="52"/>
      <c r="M468" s="52"/>
      <c r="N468" s="53"/>
      <c r="O468" s="28"/>
    </row>
    <row r="469" spans="1:15" s="22" customFormat="1" ht="26.25">
      <c r="A469" s="32">
        <f>SUBTOTAL(103,$B$2:B469)*1</f>
        <v>411</v>
      </c>
      <c r="B469" s="53"/>
      <c r="C469" s="53"/>
      <c r="D469" s="32"/>
      <c r="E469" s="35"/>
      <c r="F469" s="32"/>
      <c r="G469" s="37"/>
      <c r="H469" s="32"/>
      <c r="I469" s="38"/>
      <c r="J469" s="52"/>
      <c r="K469" s="52"/>
      <c r="L469" s="52"/>
      <c r="M469" s="52"/>
      <c r="N469" s="53"/>
      <c r="O469" s="28"/>
    </row>
    <row r="470" spans="1:15" s="22" customFormat="1" ht="26.25">
      <c r="A470" s="32">
        <f>SUBTOTAL(103,$B$2:B470)*1</f>
        <v>411</v>
      </c>
      <c r="B470" s="53"/>
      <c r="C470" s="53"/>
      <c r="D470" s="32"/>
      <c r="E470" s="35"/>
      <c r="F470" s="32"/>
      <c r="G470" s="37"/>
      <c r="H470" s="32"/>
      <c r="I470" s="38"/>
      <c r="J470" s="52"/>
      <c r="K470" s="52"/>
      <c r="L470" s="52"/>
      <c r="M470" s="52"/>
      <c r="N470" s="53"/>
      <c r="O470" s="28"/>
    </row>
    <row r="471" spans="1:15" s="22" customFormat="1" ht="26.25">
      <c r="A471" s="32">
        <f>SUBTOTAL(103,$B$2:B471)*1</f>
        <v>411</v>
      </c>
      <c r="B471" s="53"/>
      <c r="C471" s="53"/>
      <c r="D471" s="32"/>
      <c r="E471" s="35"/>
      <c r="F471" s="32"/>
      <c r="G471" s="37"/>
      <c r="H471" s="32"/>
      <c r="I471" s="38"/>
      <c r="J471" s="52"/>
      <c r="K471" s="52"/>
      <c r="L471" s="52"/>
      <c r="M471" s="52"/>
      <c r="N471" s="53"/>
      <c r="O471" s="28"/>
    </row>
    <row r="472" spans="1:15" s="22" customFormat="1" ht="26.25">
      <c r="A472" s="32">
        <f>SUBTOTAL(103,$B$2:B472)*1</f>
        <v>411</v>
      </c>
      <c r="B472" s="53"/>
      <c r="C472" s="53"/>
      <c r="D472" s="32"/>
      <c r="E472" s="35"/>
      <c r="F472" s="32"/>
      <c r="G472" s="37"/>
      <c r="H472" s="32"/>
      <c r="I472" s="38"/>
      <c r="J472" s="52"/>
      <c r="K472" s="52"/>
      <c r="L472" s="52"/>
      <c r="M472" s="52"/>
      <c r="N472" s="53"/>
      <c r="O472" s="28"/>
    </row>
    <row r="473" spans="1:15" s="22" customFormat="1" ht="26.25">
      <c r="A473" s="32">
        <f>SUBTOTAL(103,$B$2:B473)*1</f>
        <v>411</v>
      </c>
      <c r="B473" s="53"/>
      <c r="C473" s="53"/>
      <c r="D473" s="32"/>
      <c r="E473" s="35"/>
      <c r="F473" s="32"/>
      <c r="G473" s="37"/>
      <c r="H473" s="32"/>
      <c r="I473" s="38"/>
      <c r="J473" s="52"/>
      <c r="K473" s="52"/>
      <c r="L473" s="52"/>
      <c r="M473" s="52"/>
      <c r="N473" s="53"/>
      <c r="O473" s="28"/>
    </row>
    <row r="474" spans="1:15" s="22" customFormat="1" ht="26.25">
      <c r="A474" s="32">
        <f>SUBTOTAL(103,$B$2:B474)*1</f>
        <v>411</v>
      </c>
      <c r="B474" s="53"/>
      <c r="C474" s="53"/>
      <c r="D474" s="32"/>
      <c r="E474" s="35"/>
      <c r="F474" s="32"/>
      <c r="G474" s="37"/>
      <c r="H474" s="32"/>
      <c r="I474" s="38"/>
      <c r="J474" s="52"/>
      <c r="K474" s="52"/>
      <c r="L474" s="52"/>
      <c r="M474" s="52"/>
      <c r="N474" s="53"/>
      <c r="O474" s="28"/>
    </row>
    <row r="475" spans="1:15" s="22" customFormat="1" ht="26.25">
      <c r="A475" s="32">
        <f>SUBTOTAL(103,$B$2:B475)*1</f>
        <v>411</v>
      </c>
      <c r="B475" s="53"/>
      <c r="C475" s="53"/>
      <c r="D475" s="32"/>
      <c r="E475" s="35"/>
      <c r="F475" s="32"/>
      <c r="G475" s="37"/>
      <c r="H475" s="32"/>
      <c r="I475" s="38"/>
      <c r="J475" s="52"/>
      <c r="K475" s="52"/>
      <c r="L475" s="52"/>
      <c r="M475" s="52"/>
      <c r="N475" s="53"/>
      <c r="O475" s="28"/>
    </row>
    <row r="476" spans="1:15" s="22" customFormat="1" ht="26.25">
      <c r="A476" s="32">
        <f>SUBTOTAL(103,$B$2:B476)*1</f>
        <v>411</v>
      </c>
      <c r="B476" s="53"/>
      <c r="C476" s="53"/>
      <c r="D476" s="32"/>
      <c r="E476" s="35"/>
      <c r="F476" s="32"/>
      <c r="G476" s="37"/>
      <c r="H476" s="32"/>
      <c r="I476" s="38"/>
      <c r="J476" s="52"/>
      <c r="K476" s="52"/>
      <c r="L476" s="52"/>
      <c r="M476" s="52"/>
      <c r="N476" s="53"/>
      <c r="O476" s="28"/>
    </row>
    <row r="477" spans="1:15" s="22" customFormat="1" ht="26.25">
      <c r="A477" s="32">
        <f>SUBTOTAL(103,$B$2:B477)*1</f>
        <v>411</v>
      </c>
      <c r="B477" s="53"/>
      <c r="C477" s="53"/>
      <c r="D477" s="32"/>
      <c r="E477" s="35"/>
      <c r="F477" s="32"/>
      <c r="G477" s="37"/>
      <c r="H477" s="32"/>
      <c r="I477" s="38"/>
      <c r="J477" s="52"/>
      <c r="K477" s="52"/>
      <c r="L477" s="52"/>
      <c r="M477" s="52"/>
      <c r="N477" s="53"/>
      <c r="O477" s="28"/>
    </row>
    <row r="478" spans="1:15" s="22" customFormat="1" ht="26.25">
      <c r="A478" s="32">
        <f>SUBTOTAL(103,$B$2:B478)*1</f>
        <v>411</v>
      </c>
      <c r="B478" s="53"/>
      <c r="C478" s="53"/>
      <c r="D478" s="32"/>
      <c r="E478" s="35"/>
      <c r="F478" s="32"/>
      <c r="G478" s="37"/>
      <c r="H478" s="32"/>
      <c r="I478" s="38"/>
      <c r="J478" s="52"/>
      <c r="K478" s="52"/>
      <c r="L478" s="52"/>
      <c r="M478" s="52"/>
      <c r="N478" s="53"/>
      <c r="O478" s="28"/>
    </row>
    <row r="479" spans="1:15" s="22" customFormat="1" ht="26.25">
      <c r="A479" s="32">
        <f>SUBTOTAL(103,$B$2:B479)*1</f>
        <v>411</v>
      </c>
      <c r="B479" s="53"/>
      <c r="C479" s="53"/>
      <c r="D479" s="32"/>
      <c r="E479" s="35"/>
      <c r="F479" s="32"/>
      <c r="G479" s="37"/>
      <c r="H479" s="32"/>
      <c r="I479" s="38"/>
      <c r="J479" s="52"/>
      <c r="K479" s="52"/>
      <c r="L479" s="52"/>
      <c r="M479" s="52"/>
      <c r="N479" s="53"/>
      <c r="O479" s="28"/>
    </row>
    <row r="480" spans="1:15" s="22" customFormat="1" ht="26.25">
      <c r="A480" s="32">
        <f>SUBTOTAL(103,$B$2:B480)*1</f>
        <v>411</v>
      </c>
      <c r="B480" s="53"/>
      <c r="C480" s="53"/>
      <c r="D480" s="32"/>
      <c r="E480" s="35"/>
      <c r="F480" s="32"/>
      <c r="G480" s="37"/>
      <c r="H480" s="32"/>
      <c r="I480" s="38"/>
      <c r="J480" s="52"/>
      <c r="K480" s="52"/>
      <c r="L480" s="52"/>
      <c r="M480" s="52"/>
      <c r="N480" s="53"/>
      <c r="O480" s="28"/>
    </row>
    <row r="481" spans="1:15" s="22" customFormat="1" ht="26.25">
      <c r="A481" s="32">
        <f>SUBTOTAL(103,$B$2:B481)*1</f>
        <v>411</v>
      </c>
      <c r="B481" s="53"/>
      <c r="C481" s="53"/>
      <c r="D481" s="32"/>
      <c r="E481" s="35"/>
      <c r="F481" s="32"/>
      <c r="G481" s="37"/>
      <c r="H481" s="32"/>
      <c r="I481" s="38"/>
      <c r="J481" s="52"/>
      <c r="K481" s="52"/>
      <c r="L481" s="52"/>
      <c r="M481" s="52"/>
      <c r="N481" s="53"/>
      <c r="O481" s="28"/>
    </row>
    <row r="482" spans="1:15" s="22" customFormat="1" ht="26.25">
      <c r="A482" s="32">
        <f>SUBTOTAL(103,$B$2:B482)*1</f>
        <v>411</v>
      </c>
      <c r="B482" s="53"/>
      <c r="C482" s="53"/>
      <c r="D482" s="32"/>
      <c r="E482" s="35"/>
      <c r="F482" s="32"/>
      <c r="G482" s="37"/>
      <c r="H482" s="32"/>
      <c r="I482" s="38"/>
      <c r="J482" s="52"/>
      <c r="K482" s="52"/>
      <c r="L482" s="52"/>
      <c r="M482" s="52"/>
      <c r="N482" s="53"/>
      <c r="O482" s="28"/>
    </row>
    <row r="483" spans="1:15" s="22" customFormat="1" ht="26.25">
      <c r="A483" s="32">
        <f>SUBTOTAL(103,$B$2:B483)*1</f>
        <v>411</v>
      </c>
      <c r="B483" s="53"/>
      <c r="C483" s="53"/>
      <c r="D483" s="32"/>
      <c r="E483" s="35"/>
      <c r="F483" s="32"/>
      <c r="G483" s="37"/>
      <c r="H483" s="32"/>
      <c r="I483" s="38"/>
      <c r="J483" s="52"/>
      <c r="K483" s="52"/>
      <c r="L483" s="52"/>
      <c r="M483" s="52"/>
      <c r="N483" s="53"/>
      <c r="O483" s="28"/>
    </row>
    <row r="484" spans="1:15" s="22" customFormat="1" ht="26.25">
      <c r="A484" s="32">
        <f>SUBTOTAL(103,$B$2:B484)*1</f>
        <v>411</v>
      </c>
      <c r="B484" s="53"/>
      <c r="C484" s="53"/>
      <c r="D484" s="32"/>
      <c r="E484" s="35"/>
      <c r="F484" s="32"/>
      <c r="G484" s="37"/>
      <c r="H484" s="32"/>
      <c r="I484" s="38"/>
      <c r="J484" s="52"/>
      <c r="K484" s="52"/>
      <c r="L484" s="52"/>
      <c r="M484" s="52"/>
      <c r="N484" s="53"/>
      <c r="O484" s="28"/>
    </row>
    <row r="485" spans="1:15" s="22" customFormat="1" ht="26.25">
      <c r="A485" s="32">
        <f>SUBTOTAL(103,$B$2:B485)*1</f>
        <v>411</v>
      </c>
      <c r="B485" s="53"/>
      <c r="C485" s="53"/>
      <c r="D485" s="32"/>
      <c r="E485" s="35"/>
      <c r="F485" s="32"/>
      <c r="G485" s="37"/>
      <c r="H485" s="32"/>
      <c r="I485" s="38"/>
      <c r="J485" s="52"/>
      <c r="K485" s="52"/>
      <c r="L485" s="52"/>
      <c r="M485" s="52"/>
      <c r="N485" s="53"/>
      <c r="O485" s="28"/>
    </row>
    <row r="486" spans="1:15" s="22" customFormat="1" ht="26.25">
      <c r="A486" s="32">
        <f>SUBTOTAL(103,$B$2:B486)*1</f>
        <v>411</v>
      </c>
      <c r="B486" s="53"/>
      <c r="C486" s="53"/>
      <c r="D486" s="32"/>
      <c r="E486" s="35"/>
      <c r="F486" s="32"/>
      <c r="G486" s="37"/>
      <c r="H486" s="32"/>
      <c r="I486" s="38"/>
      <c r="J486" s="52"/>
      <c r="K486" s="52"/>
      <c r="L486" s="52"/>
      <c r="M486" s="52"/>
      <c r="N486" s="53"/>
      <c r="O486" s="28"/>
    </row>
    <row r="487" spans="1:15" s="22" customFormat="1" ht="26.25">
      <c r="A487" s="32">
        <f>SUBTOTAL(103,$B$2:B487)*1</f>
        <v>411</v>
      </c>
      <c r="B487" s="53"/>
      <c r="C487" s="53"/>
      <c r="D487" s="32"/>
      <c r="E487" s="35"/>
      <c r="F487" s="32"/>
      <c r="G487" s="37"/>
      <c r="H487" s="32"/>
      <c r="I487" s="38"/>
      <c r="J487" s="52"/>
      <c r="K487" s="52"/>
      <c r="L487" s="52"/>
      <c r="M487" s="52"/>
      <c r="N487" s="53"/>
      <c r="O487" s="28"/>
    </row>
    <row r="488" spans="1:15" s="22" customFormat="1" ht="26.25">
      <c r="A488" s="32">
        <f>SUBTOTAL(103,$B$2:B488)*1</f>
        <v>411</v>
      </c>
      <c r="B488" s="53"/>
      <c r="C488" s="53"/>
      <c r="D488" s="32"/>
      <c r="E488" s="35"/>
      <c r="F488" s="32"/>
      <c r="G488" s="37"/>
      <c r="H488" s="32"/>
      <c r="I488" s="38"/>
      <c r="J488" s="52"/>
      <c r="K488" s="52"/>
      <c r="L488" s="52"/>
      <c r="M488" s="52"/>
      <c r="N488" s="53"/>
      <c r="O488" s="28"/>
    </row>
    <row r="489" spans="1:15" s="22" customFormat="1" ht="26.25">
      <c r="A489" s="32">
        <f>SUBTOTAL(103,$B$2:B489)*1</f>
        <v>411</v>
      </c>
      <c r="B489" s="53"/>
      <c r="C489" s="53"/>
      <c r="D489" s="32"/>
      <c r="E489" s="35"/>
      <c r="F489" s="32"/>
      <c r="G489" s="37"/>
      <c r="H489" s="32"/>
      <c r="I489" s="38"/>
      <c r="J489" s="52"/>
      <c r="K489" s="52"/>
      <c r="L489" s="52"/>
      <c r="M489" s="52"/>
      <c r="N489" s="53"/>
      <c r="O489" s="28"/>
    </row>
    <row r="490" spans="1:15" s="22" customFormat="1" ht="26.25">
      <c r="A490" s="32">
        <f>SUBTOTAL(103,$B$2:B490)*1</f>
        <v>411</v>
      </c>
      <c r="B490" s="53"/>
      <c r="C490" s="53"/>
      <c r="D490" s="32"/>
      <c r="E490" s="35"/>
      <c r="F490" s="32"/>
      <c r="G490" s="37"/>
      <c r="H490" s="32"/>
      <c r="I490" s="38"/>
      <c r="J490" s="52"/>
      <c r="K490" s="52"/>
      <c r="L490" s="52"/>
      <c r="M490" s="52"/>
      <c r="N490" s="53"/>
      <c r="O490" s="28"/>
    </row>
    <row r="491" spans="1:15" s="22" customFormat="1" ht="26.25">
      <c r="A491" s="32">
        <f>SUBTOTAL(103,$B$2:B491)*1</f>
        <v>411</v>
      </c>
      <c r="B491" s="53"/>
      <c r="C491" s="53"/>
      <c r="D491" s="32"/>
      <c r="E491" s="35"/>
      <c r="F491" s="32"/>
      <c r="G491" s="37"/>
      <c r="H491" s="32"/>
      <c r="I491" s="38"/>
      <c r="J491" s="52"/>
      <c r="K491" s="52"/>
      <c r="L491" s="52"/>
      <c r="M491" s="52"/>
      <c r="N491" s="53"/>
      <c r="O491" s="28"/>
    </row>
    <row r="492" spans="1:15" s="22" customFormat="1" ht="26.25">
      <c r="A492" s="32">
        <f>SUBTOTAL(103,$B$2:B492)*1</f>
        <v>411</v>
      </c>
      <c r="B492" s="53"/>
      <c r="C492" s="53"/>
      <c r="D492" s="32"/>
      <c r="E492" s="35"/>
      <c r="F492" s="32"/>
      <c r="G492" s="37"/>
      <c r="H492" s="32"/>
      <c r="I492" s="38"/>
      <c r="J492" s="52"/>
      <c r="K492" s="52"/>
      <c r="L492" s="52"/>
      <c r="M492" s="52"/>
      <c r="N492" s="53"/>
      <c r="O492" s="28"/>
    </row>
    <row r="493" spans="1:15" s="22" customFormat="1" ht="26.25">
      <c r="A493" s="32">
        <f>SUBTOTAL(103,$B$2:B493)*1</f>
        <v>411</v>
      </c>
      <c r="B493" s="53"/>
      <c r="C493" s="53"/>
      <c r="D493" s="32"/>
      <c r="E493" s="35"/>
      <c r="F493" s="32"/>
      <c r="G493" s="37"/>
      <c r="H493" s="32"/>
      <c r="I493" s="38"/>
      <c r="J493" s="52"/>
      <c r="K493" s="52"/>
      <c r="L493" s="52"/>
      <c r="M493" s="52"/>
      <c r="N493" s="53"/>
      <c r="O493" s="28"/>
    </row>
    <row r="494" spans="1:15" s="22" customFormat="1" ht="26.25">
      <c r="A494" s="32">
        <f>SUBTOTAL(103,$B$2:B494)*1</f>
        <v>411</v>
      </c>
      <c r="B494" s="53"/>
      <c r="C494" s="53"/>
      <c r="D494" s="32"/>
      <c r="E494" s="35"/>
      <c r="F494" s="32"/>
      <c r="G494" s="37"/>
      <c r="H494" s="32"/>
      <c r="I494" s="38"/>
      <c r="J494" s="52"/>
      <c r="K494" s="52"/>
      <c r="L494" s="52"/>
      <c r="M494" s="52"/>
      <c r="N494" s="53"/>
      <c r="O494" s="28"/>
    </row>
    <row r="495" spans="1:15" s="22" customFormat="1" ht="26.25">
      <c r="A495" s="32">
        <f>SUBTOTAL(103,$B$2:B495)*1</f>
        <v>411</v>
      </c>
      <c r="B495" s="53"/>
      <c r="C495" s="53"/>
      <c r="D495" s="32"/>
      <c r="E495" s="35"/>
      <c r="F495" s="32"/>
      <c r="G495" s="37"/>
      <c r="H495" s="32"/>
      <c r="I495" s="38"/>
      <c r="J495" s="52"/>
      <c r="K495" s="52"/>
      <c r="L495" s="52"/>
      <c r="M495" s="52"/>
      <c r="N495" s="53"/>
      <c r="O495" s="28"/>
    </row>
    <row r="496" spans="1:15" s="22" customFormat="1" ht="26.25">
      <c r="A496" s="32">
        <f>SUBTOTAL(103,$B$2:B496)*1</f>
        <v>411</v>
      </c>
      <c r="B496" s="53"/>
      <c r="C496" s="53"/>
      <c r="D496" s="32"/>
      <c r="E496" s="35"/>
      <c r="F496" s="32"/>
      <c r="G496" s="37"/>
      <c r="H496" s="32"/>
      <c r="I496" s="38"/>
      <c r="J496" s="52"/>
      <c r="K496" s="52"/>
      <c r="L496" s="52"/>
      <c r="M496" s="52"/>
      <c r="N496" s="53"/>
      <c r="O496" s="28"/>
    </row>
    <row r="497" spans="1:15" s="22" customFormat="1" ht="26.25">
      <c r="A497" s="32">
        <f>SUBTOTAL(103,$B$2:B497)*1</f>
        <v>411</v>
      </c>
      <c r="B497" s="53"/>
      <c r="C497" s="53"/>
      <c r="D497" s="32"/>
      <c r="E497" s="35"/>
      <c r="F497" s="32"/>
      <c r="G497" s="37"/>
      <c r="H497" s="32"/>
      <c r="I497" s="38"/>
      <c r="J497" s="52"/>
      <c r="K497" s="52"/>
      <c r="L497" s="52"/>
      <c r="M497" s="52"/>
      <c r="N497" s="53"/>
      <c r="O497" s="28"/>
    </row>
    <row r="498" spans="1:15" s="22" customFormat="1" ht="26.25">
      <c r="A498" s="32">
        <f>SUBTOTAL(103,$B$2:B498)*1</f>
        <v>411</v>
      </c>
      <c r="B498" s="53"/>
      <c r="C498" s="53"/>
      <c r="D498" s="32"/>
      <c r="E498" s="35"/>
      <c r="F498" s="32"/>
      <c r="G498" s="37"/>
      <c r="H498" s="32"/>
      <c r="I498" s="38"/>
      <c r="J498" s="52"/>
      <c r="K498" s="52"/>
      <c r="L498" s="52"/>
      <c r="M498" s="52"/>
      <c r="N498" s="53"/>
      <c r="O498" s="28"/>
    </row>
    <row r="499" spans="1:15" s="22" customFormat="1" ht="26.25">
      <c r="A499" s="32">
        <f>SUBTOTAL(103,$B$2:B499)*1</f>
        <v>411</v>
      </c>
      <c r="B499" s="53"/>
      <c r="C499" s="53"/>
      <c r="D499" s="32"/>
      <c r="E499" s="35"/>
      <c r="F499" s="32"/>
      <c r="G499" s="37"/>
      <c r="H499" s="32"/>
      <c r="I499" s="38"/>
      <c r="J499" s="52"/>
      <c r="K499" s="52"/>
      <c r="L499" s="52"/>
      <c r="M499" s="52"/>
      <c r="N499" s="53"/>
      <c r="O499" s="28"/>
    </row>
    <row r="500" spans="1:15" s="22" customFormat="1" ht="26.25">
      <c r="A500" s="32">
        <f>SUBTOTAL(103,$B$2:B500)*1</f>
        <v>411</v>
      </c>
      <c r="B500" s="53"/>
      <c r="C500" s="53"/>
      <c r="D500" s="32"/>
      <c r="E500" s="35"/>
      <c r="F500" s="32"/>
      <c r="G500" s="37"/>
      <c r="H500" s="32"/>
      <c r="I500" s="38"/>
      <c r="J500" s="52"/>
      <c r="K500" s="52"/>
      <c r="L500" s="52"/>
      <c r="M500" s="52"/>
      <c r="N500" s="53"/>
      <c r="O500" s="28"/>
    </row>
    <row r="501" spans="1:15" s="22" customFormat="1" ht="26.25">
      <c r="A501" s="32">
        <f>SUBTOTAL(103,$B$2:B501)*1</f>
        <v>411</v>
      </c>
      <c r="B501" s="53"/>
      <c r="C501" s="53"/>
      <c r="D501" s="32"/>
      <c r="E501" s="35"/>
      <c r="F501" s="32"/>
      <c r="G501" s="37"/>
      <c r="H501" s="32"/>
      <c r="I501" s="38"/>
      <c r="J501" s="52"/>
      <c r="K501" s="52"/>
      <c r="L501" s="52"/>
      <c r="M501" s="52"/>
      <c r="N501" s="53"/>
      <c r="O501" s="28"/>
    </row>
    <row r="502" spans="1:15" s="22" customFormat="1" ht="26.25">
      <c r="A502" s="32">
        <f>SUBTOTAL(103,$B$2:B502)*1</f>
        <v>411</v>
      </c>
      <c r="B502" s="53"/>
      <c r="C502" s="53"/>
      <c r="D502" s="32"/>
      <c r="E502" s="35"/>
      <c r="F502" s="32"/>
      <c r="G502" s="37"/>
      <c r="H502" s="32"/>
      <c r="I502" s="38"/>
      <c r="J502" s="52"/>
      <c r="K502" s="52"/>
      <c r="L502" s="52"/>
      <c r="M502" s="52"/>
      <c r="N502" s="53"/>
      <c r="O502" s="28"/>
    </row>
    <row r="503" spans="1:15" s="22" customFormat="1" ht="26.25">
      <c r="A503" s="32">
        <f>SUBTOTAL(103,$B$2:B503)*1</f>
        <v>411</v>
      </c>
      <c r="B503" s="53"/>
      <c r="C503" s="53"/>
      <c r="D503" s="32"/>
      <c r="E503" s="35"/>
      <c r="F503" s="32"/>
      <c r="G503" s="37"/>
      <c r="H503" s="32"/>
      <c r="I503" s="38"/>
      <c r="J503" s="52"/>
      <c r="K503" s="52"/>
      <c r="L503" s="52"/>
      <c r="M503" s="52"/>
      <c r="N503" s="53"/>
      <c r="O503" s="28"/>
    </row>
    <row r="504" spans="1:15" s="22" customFormat="1" ht="26.25">
      <c r="A504" s="32">
        <f>SUBTOTAL(103,$B$2:B504)*1</f>
        <v>411</v>
      </c>
      <c r="B504" s="53"/>
      <c r="C504" s="53"/>
      <c r="D504" s="32"/>
      <c r="E504" s="35"/>
      <c r="F504" s="32"/>
      <c r="G504" s="37"/>
      <c r="H504" s="32"/>
      <c r="I504" s="38"/>
      <c r="J504" s="52"/>
      <c r="K504" s="52"/>
      <c r="L504" s="52"/>
      <c r="M504" s="52"/>
      <c r="N504" s="53"/>
      <c r="O504" s="28"/>
    </row>
    <row r="505" spans="1:15" s="22" customFormat="1" ht="26.25">
      <c r="A505" s="32">
        <f>SUBTOTAL(103,$B$2:B505)*1</f>
        <v>411</v>
      </c>
      <c r="B505" s="53"/>
      <c r="C505" s="53"/>
      <c r="D505" s="32"/>
      <c r="E505" s="35"/>
      <c r="F505" s="32"/>
      <c r="G505" s="37"/>
      <c r="H505" s="32"/>
      <c r="I505" s="38"/>
      <c r="J505" s="52"/>
      <c r="K505" s="52"/>
      <c r="L505" s="52"/>
      <c r="M505" s="52"/>
      <c r="N505" s="53"/>
      <c r="O505" s="28"/>
    </row>
    <row r="506" spans="1:15" s="22" customFormat="1" ht="26.25">
      <c r="A506" s="32">
        <f>SUBTOTAL(103,$B$2:B506)*1</f>
        <v>411</v>
      </c>
      <c r="B506" s="53"/>
      <c r="C506" s="53"/>
      <c r="D506" s="32"/>
      <c r="E506" s="35"/>
      <c r="F506" s="32"/>
      <c r="G506" s="37"/>
      <c r="H506" s="32"/>
      <c r="I506" s="38"/>
      <c r="J506" s="52"/>
      <c r="K506" s="52"/>
      <c r="L506" s="52"/>
      <c r="M506" s="52"/>
      <c r="N506" s="53"/>
      <c r="O506" s="28"/>
    </row>
    <row r="507" spans="1:15" s="22" customFormat="1" ht="26.25">
      <c r="A507" s="32">
        <f>SUBTOTAL(103,$B$2:B507)*1</f>
        <v>411</v>
      </c>
      <c r="B507" s="53"/>
      <c r="C507" s="53"/>
      <c r="D507" s="32"/>
      <c r="E507" s="35"/>
      <c r="F507" s="32"/>
      <c r="G507" s="37"/>
      <c r="H507" s="32"/>
      <c r="I507" s="38"/>
      <c r="J507" s="52"/>
      <c r="K507" s="52"/>
      <c r="L507" s="52"/>
      <c r="M507" s="52"/>
      <c r="N507" s="53"/>
      <c r="O507" s="28"/>
    </row>
    <row r="508" spans="1:15" s="22" customFormat="1" ht="26.25">
      <c r="A508" s="32">
        <f>SUBTOTAL(103,$B$2:B508)*1</f>
        <v>411</v>
      </c>
      <c r="B508" s="53"/>
      <c r="C508" s="53"/>
      <c r="D508" s="32"/>
      <c r="E508" s="35"/>
      <c r="F508" s="32"/>
      <c r="G508" s="37"/>
      <c r="H508" s="32"/>
      <c r="I508" s="38"/>
      <c r="J508" s="52"/>
      <c r="K508" s="52"/>
      <c r="L508" s="52"/>
      <c r="M508" s="52"/>
      <c r="N508" s="53"/>
      <c r="O508" s="28"/>
    </row>
    <row r="509" spans="1:15" s="22" customFormat="1" ht="26.25">
      <c r="A509" s="32">
        <f>SUBTOTAL(103,$B$2:B509)*1</f>
        <v>411</v>
      </c>
      <c r="B509" s="53"/>
      <c r="C509" s="53"/>
      <c r="D509" s="32"/>
      <c r="E509" s="35"/>
      <c r="F509" s="32"/>
      <c r="G509" s="37"/>
      <c r="H509" s="32"/>
      <c r="I509" s="38"/>
      <c r="J509" s="52"/>
      <c r="K509" s="52"/>
      <c r="L509" s="52"/>
      <c r="M509" s="52"/>
      <c r="N509" s="53"/>
      <c r="O509" s="28"/>
    </row>
    <row r="510" spans="1:15" s="22" customFormat="1" ht="26.25">
      <c r="A510" s="32">
        <f>SUBTOTAL(103,$B$2:B510)*1</f>
        <v>411</v>
      </c>
      <c r="B510" s="53"/>
      <c r="C510" s="53"/>
      <c r="D510" s="32"/>
      <c r="E510" s="35"/>
      <c r="F510" s="32"/>
      <c r="G510" s="37"/>
      <c r="H510" s="32"/>
      <c r="I510" s="38"/>
      <c r="J510" s="52"/>
      <c r="K510" s="52"/>
      <c r="L510" s="52"/>
      <c r="M510" s="52"/>
      <c r="N510" s="53"/>
      <c r="O510" s="28"/>
    </row>
    <row r="511" spans="1:15" s="22" customFormat="1" ht="26.25">
      <c r="A511" s="32">
        <f>SUBTOTAL(103,$B$2:B511)*1</f>
        <v>411</v>
      </c>
      <c r="B511" s="53"/>
      <c r="C511" s="53"/>
      <c r="D511" s="32"/>
      <c r="E511" s="35"/>
      <c r="F511" s="32"/>
      <c r="G511" s="37"/>
      <c r="H511" s="32"/>
      <c r="I511" s="38"/>
      <c r="J511" s="52"/>
      <c r="K511" s="52"/>
      <c r="L511" s="52"/>
      <c r="M511" s="52"/>
      <c r="N511" s="53"/>
      <c r="O511" s="28"/>
    </row>
    <row r="512" spans="1:15" s="22" customFormat="1" ht="26.25">
      <c r="A512" s="32">
        <f>SUBTOTAL(103,$B$2:B512)*1</f>
        <v>411</v>
      </c>
      <c r="B512" s="53"/>
      <c r="C512" s="53"/>
      <c r="D512" s="32"/>
      <c r="E512" s="35"/>
      <c r="F512" s="32"/>
      <c r="G512" s="37"/>
      <c r="H512" s="32"/>
      <c r="I512" s="38"/>
      <c r="J512" s="52"/>
      <c r="K512" s="52"/>
      <c r="L512" s="52"/>
      <c r="M512" s="52"/>
      <c r="N512" s="53"/>
      <c r="O512" s="28"/>
    </row>
    <row r="513" spans="1:15" s="22" customFormat="1" ht="26.25">
      <c r="A513" s="32">
        <f>SUBTOTAL(103,$B$2:B513)*1</f>
        <v>411</v>
      </c>
      <c r="B513" s="53"/>
      <c r="C513" s="53"/>
      <c r="D513" s="32"/>
      <c r="E513" s="35"/>
      <c r="F513" s="32"/>
      <c r="G513" s="37"/>
      <c r="H513" s="32"/>
      <c r="I513" s="38"/>
      <c r="J513" s="52"/>
      <c r="K513" s="52"/>
      <c r="L513" s="52"/>
      <c r="M513" s="52"/>
      <c r="N513" s="53"/>
      <c r="O513" s="28"/>
    </row>
    <row r="514" spans="1:15" s="22" customFormat="1" ht="26.25">
      <c r="A514" s="32">
        <f>SUBTOTAL(103,$B$2:B514)*1</f>
        <v>411</v>
      </c>
      <c r="B514" s="53"/>
      <c r="C514" s="53"/>
      <c r="D514" s="32"/>
      <c r="E514" s="35"/>
      <c r="F514" s="32"/>
      <c r="G514" s="37"/>
      <c r="H514" s="32"/>
      <c r="I514" s="38"/>
      <c r="J514" s="52"/>
      <c r="K514" s="52"/>
      <c r="L514" s="52"/>
      <c r="M514" s="52"/>
      <c r="N514" s="53"/>
      <c r="O514" s="28"/>
    </row>
    <row r="515" spans="1:15" s="22" customFormat="1" ht="26.25">
      <c r="A515" s="32">
        <f>SUBTOTAL(103,$B$2:B515)*1</f>
        <v>411</v>
      </c>
      <c r="B515" s="53"/>
      <c r="C515" s="53"/>
      <c r="D515" s="32"/>
      <c r="E515" s="35"/>
      <c r="F515" s="32"/>
      <c r="G515" s="37"/>
      <c r="H515" s="32"/>
      <c r="I515" s="38"/>
      <c r="J515" s="52"/>
      <c r="K515" s="52"/>
      <c r="L515" s="52"/>
      <c r="M515" s="52"/>
      <c r="N515" s="53"/>
      <c r="O515" s="28"/>
    </row>
    <row r="516" spans="1:15" s="22" customFormat="1" ht="26.25">
      <c r="A516" s="32">
        <f>SUBTOTAL(103,$B$2:B516)*1</f>
        <v>411</v>
      </c>
      <c r="B516" s="53"/>
      <c r="C516" s="53"/>
      <c r="D516" s="32"/>
      <c r="E516" s="35"/>
      <c r="F516" s="32"/>
      <c r="G516" s="37"/>
      <c r="H516" s="32"/>
      <c r="I516" s="38"/>
      <c r="J516" s="52"/>
      <c r="K516" s="52"/>
      <c r="L516" s="52"/>
      <c r="M516" s="52"/>
      <c r="N516" s="53"/>
      <c r="O516" s="28"/>
    </row>
    <row r="517" spans="1:15" s="22" customFormat="1" ht="26.25">
      <c r="A517" s="32">
        <f>SUBTOTAL(103,$B$2:B517)*1</f>
        <v>411</v>
      </c>
      <c r="B517" s="53"/>
      <c r="C517" s="53"/>
      <c r="D517" s="32"/>
      <c r="E517" s="35"/>
      <c r="F517" s="32"/>
      <c r="G517" s="37"/>
      <c r="H517" s="32"/>
      <c r="I517" s="38"/>
      <c r="J517" s="52"/>
      <c r="K517" s="52"/>
      <c r="L517" s="52"/>
      <c r="M517" s="52"/>
      <c r="N517" s="53"/>
      <c r="O517" s="28"/>
    </row>
    <row r="518" spans="1:15" s="22" customFormat="1" ht="26.25">
      <c r="A518" s="32">
        <f>SUBTOTAL(103,$B$2:B518)*1</f>
        <v>411</v>
      </c>
      <c r="B518" s="53"/>
      <c r="C518" s="53"/>
      <c r="D518" s="32"/>
      <c r="E518" s="35"/>
      <c r="F518" s="32"/>
      <c r="G518" s="37"/>
      <c r="H518" s="32"/>
      <c r="I518" s="38"/>
      <c r="J518" s="52"/>
      <c r="K518" s="52"/>
      <c r="L518" s="52"/>
      <c r="M518" s="52"/>
      <c r="N518" s="53"/>
      <c r="O518" s="28"/>
    </row>
    <row r="519" spans="1:15" s="22" customFormat="1" ht="26.25">
      <c r="A519" s="32">
        <f>SUBTOTAL(103,$B$2:B519)*1</f>
        <v>411</v>
      </c>
      <c r="B519" s="53"/>
      <c r="C519" s="53"/>
      <c r="D519" s="32"/>
      <c r="E519" s="35"/>
      <c r="F519" s="32"/>
      <c r="G519" s="37"/>
      <c r="H519" s="32"/>
      <c r="I519" s="38"/>
      <c r="J519" s="52"/>
      <c r="K519" s="52"/>
      <c r="L519" s="52"/>
      <c r="M519" s="52"/>
      <c r="N519" s="53"/>
      <c r="O519" s="28"/>
    </row>
    <row r="520" spans="1:15" s="22" customFormat="1" ht="26.25">
      <c r="A520" s="32">
        <f>SUBTOTAL(103,$B$2:B520)*1</f>
        <v>411</v>
      </c>
      <c r="B520" s="53"/>
      <c r="C520" s="53"/>
      <c r="D520" s="32"/>
      <c r="E520" s="35"/>
      <c r="F520" s="32"/>
      <c r="G520" s="37"/>
      <c r="H520" s="32"/>
      <c r="I520" s="38"/>
      <c r="J520" s="52"/>
      <c r="K520" s="52"/>
      <c r="L520" s="52"/>
      <c r="M520" s="52"/>
      <c r="N520" s="53"/>
      <c r="O520" s="28"/>
    </row>
    <row r="521" spans="1:15" s="22" customFormat="1" ht="26.25">
      <c r="A521" s="32">
        <f>SUBTOTAL(103,$B$2:B521)*1</f>
        <v>411</v>
      </c>
      <c r="B521" s="53"/>
      <c r="C521" s="53"/>
      <c r="D521" s="32"/>
      <c r="E521" s="35"/>
      <c r="F521" s="32"/>
      <c r="G521" s="37"/>
      <c r="H521" s="32"/>
      <c r="I521" s="38"/>
      <c r="J521" s="52"/>
      <c r="K521" s="52"/>
      <c r="L521" s="52"/>
      <c r="M521" s="52"/>
      <c r="N521" s="53"/>
      <c r="O521" s="28"/>
    </row>
    <row r="522" spans="1:15" s="22" customFormat="1" ht="26.25">
      <c r="A522" s="32">
        <f>SUBTOTAL(103,$B$2:B522)*1</f>
        <v>411</v>
      </c>
      <c r="B522" s="53"/>
      <c r="C522" s="53"/>
      <c r="D522" s="32"/>
      <c r="E522" s="35"/>
      <c r="F522" s="32"/>
      <c r="G522" s="37"/>
      <c r="H522" s="32"/>
      <c r="I522" s="38"/>
      <c r="J522" s="52"/>
      <c r="K522" s="52"/>
      <c r="L522" s="52"/>
      <c r="M522" s="52"/>
      <c r="N522" s="53"/>
      <c r="O522" s="28"/>
    </row>
    <row r="523" spans="1:15" s="22" customFormat="1" ht="26.25">
      <c r="A523" s="32">
        <f>SUBTOTAL(103,$B$2:B523)*1</f>
        <v>411</v>
      </c>
      <c r="B523" s="53"/>
      <c r="C523" s="53"/>
      <c r="D523" s="32"/>
      <c r="E523" s="35"/>
      <c r="F523" s="32"/>
      <c r="G523" s="37"/>
      <c r="H523" s="32"/>
      <c r="I523" s="38"/>
      <c r="J523" s="52"/>
      <c r="K523" s="52"/>
      <c r="L523" s="52"/>
      <c r="M523" s="52"/>
      <c r="N523" s="53"/>
      <c r="O523" s="28"/>
    </row>
    <row r="524" spans="1:15" s="22" customFormat="1" ht="26.25">
      <c r="A524" s="32">
        <f>SUBTOTAL(103,$B$2:B524)*1</f>
        <v>411</v>
      </c>
      <c r="B524" s="53"/>
      <c r="C524" s="53"/>
      <c r="D524" s="32"/>
      <c r="E524" s="35"/>
      <c r="F524" s="32"/>
      <c r="G524" s="37"/>
      <c r="H524" s="32"/>
      <c r="I524" s="38"/>
      <c r="J524" s="52"/>
      <c r="K524" s="52"/>
      <c r="L524" s="52"/>
      <c r="M524" s="52"/>
      <c r="N524" s="53"/>
      <c r="O524" s="28"/>
    </row>
    <row r="525" spans="1:15" s="22" customFormat="1" ht="26.25">
      <c r="A525" s="32">
        <f>SUBTOTAL(103,$B$2:B525)*1</f>
        <v>411</v>
      </c>
      <c r="B525" s="53"/>
      <c r="C525" s="53"/>
      <c r="D525" s="32"/>
      <c r="E525" s="35"/>
      <c r="F525" s="32"/>
      <c r="G525" s="37"/>
      <c r="H525" s="32"/>
      <c r="I525" s="38"/>
      <c r="J525" s="52"/>
      <c r="K525" s="52"/>
      <c r="L525" s="52"/>
      <c r="M525" s="52"/>
      <c r="N525" s="53"/>
      <c r="O525" s="28"/>
    </row>
    <row r="526" spans="1:15" s="22" customFormat="1" ht="26.25">
      <c r="A526" s="32">
        <f>SUBTOTAL(103,$B$2:B526)*1</f>
        <v>411</v>
      </c>
      <c r="B526" s="53"/>
      <c r="C526" s="53"/>
      <c r="D526" s="32"/>
      <c r="E526" s="35"/>
      <c r="F526" s="32"/>
      <c r="G526" s="37"/>
      <c r="H526" s="32"/>
      <c r="I526" s="38"/>
      <c r="J526" s="52"/>
      <c r="K526" s="52"/>
      <c r="L526" s="52"/>
      <c r="M526" s="52"/>
      <c r="N526" s="53"/>
      <c r="O526" s="28"/>
    </row>
    <row r="527" spans="1:15" s="22" customFormat="1" ht="26.25">
      <c r="A527" s="32">
        <f>SUBTOTAL(103,$B$2:B527)*1</f>
        <v>411</v>
      </c>
      <c r="B527" s="53"/>
      <c r="C527" s="53"/>
      <c r="D527" s="32"/>
      <c r="E527" s="35"/>
      <c r="F527" s="32"/>
      <c r="G527" s="37"/>
      <c r="H527" s="32"/>
      <c r="I527" s="38"/>
      <c r="J527" s="52"/>
      <c r="K527" s="52"/>
      <c r="L527" s="52"/>
      <c r="M527" s="52"/>
      <c r="N527" s="53"/>
      <c r="O527" s="28"/>
    </row>
    <row r="528" spans="1:15" s="22" customFormat="1" ht="26.25">
      <c r="A528" s="32">
        <f>SUBTOTAL(103,$B$2:B528)*1</f>
        <v>411</v>
      </c>
      <c r="B528" s="53"/>
      <c r="C528" s="53"/>
      <c r="D528" s="32"/>
      <c r="E528" s="35"/>
      <c r="F528" s="32"/>
      <c r="G528" s="37"/>
      <c r="H528" s="32"/>
      <c r="I528" s="38"/>
      <c r="J528" s="52"/>
      <c r="K528" s="52"/>
      <c r="L528" s="52"/>
      <c r="M528" s="52"/>
      <c r="N528" s="53"/>
      <c r="O528" s="28"/>
    </row>
    <row r="529" spans="1:15" s="22" customFormat="1" ht="26.25">
      <c r="A529" s="32">
        <f>SUBTOTAL(103,$B$2:B529)*1</f>
        <v>411</v>
      </c>
      <c r="B529" s="53"/>
      <c r="C529" s="53"/>
      <c r="D529" s="32"/>
      <c r="E529" s="35"/>
      <c r="F529" s="32"/>
      <c r="G529" s="37"/>
      <c r="H529" s="32"/>
      <c r="I529" s="38"/>
      <c r="J529" s="52"/>
      <c r="K529" s="52"/>
      <c r="L529" s="52"/>
      <c r="M529" s="52"/>
      <c r="N529" s="53"/>
      <c r="O529" s="28"/>
    </row>
    <row r="530" spans="1:15" s="22" customFormat="1" ht="26.25">
      <c r="A530" s="32">
        <f>SUBTOTAL(103,$B$2:B530)*1</f>
        <v>411</v>
      </c>
      <c r="B530" s="53"/>
      <c r="C530" s="53"/>
      <c r="D530" s="32"/>
      <c r="E530" s="35"/>
      <c r="F530" s="32"/>
      <c r="G530" s="37"/>
      <c r="H530" s="32"/>
      <c r="I530" s="38"/>
      <c r="J530" s="52"/>
      <c r="K530" s="52"/>
      <c r="L530" s="52"/>
      <c r="M530" s="52"/>
      <c r="N530" s="53"/>
      <c r="O530" s="28"/>
    </row>
    <row r="531" spans="1:15" s="22" customFormat="1" ht="26.25">
      <c r="A531" s="32">
        <f>SUBTOTAL(103,$B$2:B531)*1</f>
        <v>411</v>
      </c>
      <c r="B531" s="53"/>
      <c r="C531" s="53"/>
      <c r="D531" s="32"/>
      <c r="E531" s="35"/>
      <c r="F531" s="32"/>
      <c r="G531" s="37"/>
      <c r="H531" s="32"/>
      <c r="I531" s="38"/>
      <c r="J531" s="52"/>
      <c r="K531" s="52"/>
      <c r="L531" s="52"/>
      <c r="M531" s="52"/>
      <c r="N531" s="53"/>
      <c r="O531" s="28"/>
    </row>
    <row r="532" spans="1:15" s="22" customFormat="1" ht="26.25">
      <c r="A532" s="32">
        <f>SUBTOTAL(103,$B$2:B532)*1</f>
        <v>411</v>
      </c>
      <c r="B532" s="53"/>
      <c r="C532" s="53"/>
      <c r="D532" s="32"/>
      <c r="E532" s="35"/>
      <c r="F532" s="32"/>
      <c r="G532" s="37"/>
      <c r="H532" s="32"/>
      <c r="I532" s="38"/>
      <c r="J532" s="52"/>
      <c r="K532" s="52"/>
      <c r="L532" s="52"/>
      <c r="M532" s="52"/>
      <c r="N532" s="53"/>
      <c r="O532" s="28"/>
    </row>
    <row r="533" spans="1:15" s="22" customFormat="1" ht="26.25">
      <c r="A533" s="32">
        <f>SUBTOTAL(103,$B$2:B533)*1</f>
        <v>411</v>
      </c>
      <c r="B533" s="53"/>
      <c r="C533" s="53"/>
      <c r="D533" s="32"/>
      <c r="E533" s="35"/>
      <c r="F533" s="32"/>
      <c r="G533" s="37"/>
      <c r="H533" s="32"/>
      <c r="I533" s="38"/>
      <c r="J533" s="52"/>
      <c r="K533" s="52"/>
      <c r="L533" s="52"/>
      <c r="M533" s="52"/>
      <c r="N533" s="53"/>
      <c r="O533" s="28"/>
    </row>
    <row r="534" spans="1:15" s="22" customFormat="1" ht="26.25">
      <c r="A534" s="32">
        <f>SUBTOTAL(103,$B$2:B534)*1</f>
        <v>411</v>
      </c>
      <c r="B534" s="53"/>
      <c r="C534" s="53"/>
      <c r="D534" s="32"/>
      <c r="E534" s="35"/>
      <c r="F534" s="32"/>
      <c r="G534" s="37"/>
      <c r="H534" s="32"/>
      <c r="I534" s="38"/>
      <c r="J534" s="52"/>
      <c r="K534" s="52"/>
      <c r="L534" s="52"/>
      <c r="M534" s="52"/>
      <c r="N534" s="53"/>
      <c r="O534" s="28"/>
    </row>
    <row r="535" spans="1:15" s="22" customFormat="1" ht="26.25">
      <c r="A535" s="32">
        <f>SUBTOTAL(103,$B$2:B535)*1</f>
        <v>411</v>
      </c>
      <c r="B535" s="53"/>
      <c r="C535" s="53"/>
      <c r="D535" s="32"/>
      <c r="E535" s="35"/>
      <c r="F535" s="32"/>
      <c r="G535" s="37"/>
      <c r="H535" s="32"/>
      <c r="I535" s="38"/>
      <c r="J535" s="52"/>
      <c r="K535" s="52"/>
      <c r="L535" s="52"/>
      <c r="M535" s="52"/>
      <c r="N535" s="53"/>
      <c r="O535" s="28"/>
    </row>
    <row r="536" spans="1:15" s="22" customFormat="1" ht="26.25">
      <c r="A536" s="32">
        <f>SUBTOTAL(103,$B$2:B536)*1</f>
        <v>411</v>
      </c>
      <c r="B536" s="53"/>
      <c r="C536" s="53"/>
      <c r="D536" s="32"/>
      <c r="E536" s="35"/>
      <c r="F536" s="32"/>
      <c r="G536" s="37"/>
      <c r="H536" s="32"/>
      <c r="I536" s="38"/>
      <c r="J536" s="52"/>
      <c r="K536" s="52"/>
      <c r="L536" s="52"/>
      <c r="M536" s="52"/>
      <c r="N536" s="53"/>
      <c r="O536" s="28"/>
    </row>
    <row r="537" spans="1:15" s="22" customFormat="1" ht="26.25">
      <c r="A537" s="32">
        <f>SUBTOTAL(103,$B$2:B537)*1</f>
        <v>411</v>
      </c>
      <c r="B537" s="53"/>
      <c r="C537" s="53"/>
      <c r="D537" s="32"/>
      <c r="E537" s="35"/>
      <c r="F537" s="32"/>
      <c r="G537" s="37"/>
      <c r="H537" s="32"/>
      <c r="I537" s="38"/>
      <c r="J537" s="52"/>
      <c r="K537" s="52"/>
      <c r="L537" s="52"/>
      <c r="M537" s="52"/>
      <c r="N537" s="53"/>
      <c r="O537" s="28"/>
    </row>
    <row r="538" spans="1:15" s="22" customFormat="1" ht="26.25">
      <c r="A538" s="32">
        <f>SUBTOTAL(103,$B$2:B538)*1</f>
        <v>411</v>
      </c>
      <c r="B538" s="53"/>
      <c r="C538" s="53"/>
      <c r="D538" s="32"/>
      <c r="E538" s="35"/>
      <c r="F538" s="32"/>
      <c r="G538" s="37"/>
      <c r="H538" s="32"/>
      <c r="I538" s="38"/>
      <c r="J538" s="52"/>
      <c r="K538" s="52"/>
      <c r="L538" s="52"/>
      <c r="M538" s="52"/>
      <c r="N538" s="53"/>
      <c r="O538" s="28"/>
    </row>
    <row r="539" spans="1:15" s="22" customFormat="1" ht="26.25">
      <c r="A539" s="32">
        <f>SUBTOTAL(103,$B$2:B539)*1</f>
        <v>411</v>
      </c>
      <c r="B539" s="53"/>
      <c r="C539" s="53"/>
      <c r="D539" s="32"/>
      <c r="E539" s="35"/>
      <c r="F539" s="32"/>
      <c r="G539" s="37"/>
      <c r="H539" s="32"/>
      <c r="I539" s="38"/>
      <c r="J539" s="52"/>
      <c r="K539" s="52"/>
      <c r="L539" s="52"/>
      <c r="M539" s="52"/>
      <c r="N539" s="53"/>
      <c r="O539" s="28"/>
    </row>
    <row r="540" spans="1:15" s="22" customFormat="1" ht="26.25">
      <c r="A540" s="32">
        <f>SUBTOTAL(103,$B$2:B540)*1</f>
        <v>411</v>
      </c>
      <c r="B540" s="53"/>
      <c r="C540" s="53"/>
      <c r="D540" s="32"/>
      <c r="E540" s="35"/>
      <c r="F540" s="32"/>
      <c r="G540" s="37"/>
      <c r="H540" s="32"/>
      <c r="I540" s="38"/>
      <c r="J540" s="52"/>
      <c r="K540" s="52"/>
      <c r="L540" s="52"/>
      <c r="M540" s="52"/>
      <c r="N540" s="53"/>
      <c r="O540" s="28"/>
    </row>
    <row r="541" spans="1:15" s="22" customFormat="1" ht="26.25">
      <c r="A541" s="32">
        <f>SUBTOTAL(103,$B$2:B541)*1</f>
        <v>411</v>
      </c>
      <c r="B541" s="53"/>
      <c r="C541" s="53"/>
      <c r="D541" s="32"/>
      <c r="E541" s="35"/>
      <c r="F541" s="32"/>
      <c r="G541" s="37"/>
      <c r="H541" s="32"/>
      <c r="I541" s="38"/>
      <c r="J541" s="52"/>
      <c r="K541" s="52"/>
      <c r="L541" s="52"/>
      <c r="M541" s="52"/>
      <c r="N541" s="53"/>
      <c r="O541" s="28"/>
    </row>
    <row r="542" spans="1:15" s="22" customFormat="1" ht="26.25">
      <c r="A542" s="32">
        <f>SUBTOTAL(103,$B$2:B542)*1</f>
        <v>411</v>
      </c>
      <c r="B542" s="53"/>
      <c r="C542" s="53"/>
      <c r="D542" s="32"/>
      <c r="E542" s="35"/>
      <c r="F542" s="32"/>
      <c r="G542" s="37"/>
      <c r="H542" s="32"/>
      <c r="I542" s="38"/>
      <c r="J542" s="52"/>
      <c r="K542" s="52"/>
      <c r="L542" s="52"/>
      <c r="M542" s="52"/>
      <c r="N542" s="53"/>
      <c r="O542" s="28"/>
    </row>
    <row r="543" spans="1:15" s="22" customFormat="1" ht="26.25">
      <c r="A543" s="32">
        <f>SUBTOTAL(103,$B$2:B543)*1</f>
        <v>411</v>
      </c>
      <c r="B543" s="53"/>
      <c r="C543" s="53"/>
      <c r="D543" s="32"/>
      <c r="E543" s="35"/>
      <c r="F543" s="32"/>
      <c r="G543" s="37"/>
      <c r="H543" s="32"/>
      <c r="I543" s="38"/>
      <c r="J543" s="52"/>
      <c r="K543" s="52"/>
      <c r="L543" s="52"/>
      <c r="M543" s="52"/>
      <c r="N543" s="53"/>
      <c r="O543" s="28"/>
    </row>
    <row r="544" spans="1:15" s="22" customFormat="1" ht="26.25">
      <c r="A544" s="32">
        <f>SUBTOTAL(103,$B$2:B544)*1</f>
        <v>411</v>
      </c>
      <c r="B544" s="53"/>
      <c r="C544" s="53"/>
      <c r="D544" s="32"/>
      <c r="E544" s="35"/>
      <c r="F544" s="32"/>
      <c r="G544" s="37"/>
      <c r="H544" s="32"/>
      <c r="I544" s="38"/>
      <c r="J544" s="52"/>
      <c r="K544" s="52"/>
      <c r="L544" s="52"/>
      <c r="M544" s="52"/>
      <c r="N544" s="53"/>
      <c r="O544" s="28"/>
    </row>
    <row r="545" spans="1:15" s="22" customFormat="1" ht="26.25">
      <c r="A545" s="32">
        <f>SUBTOTAL(103,$B$2:B545)*1</f>
        <v>411</v>
      </c>
      <c r="B545" s="53"/>
      <c r="C545" s="53"/>
      <c r="D545" s="32"/>
      <c r="E545" s="35"/>
      <c r="F545" s="32"/>
      <c r="G545" s="37"/>
      <c r="H545" s="32"/>
      <c r="I545" s="38"/>
      <c r="J545" s="52"/>
      <c r="K545" s="52"/>
      <c r="L545" s="52"/>
      <c r="M545" s="52"/>
      <c r="N545" s="53"/>
      <c r="O545" s="28"/>
    </row>
    <row r="546" spans="1:15" s="22" customFormat="1" ht="26.25">
      <c r="A546" s="32">
        <f>SUBTOTAL(103,$B$2:B546)*1</f>
        <v>411</v>
      </c>
      <c r="B546" s="53"/>
      <c r="C546" s="53"/>
      <c r="D546" s="32"/>
      <c r="E546" s="35"/>
      <c r="F546" s="32"/>
      <c r="G546" s="37"/>
      <c r="H546" s="32"/>
      <c r="I546" s="38"/>
      <c r="J546" s="52"/>
      <c r="K546" s="52"/>
      <c r="L546" s="52"/>
      <c r="M546" s="52"/>
      <c r="N546" s="53"/>
      <c r="O546" s="28"/>
    </row>
    <row r="547" spans="1:15" s="22" customFormat="1" ht="26.25">
      <c r="A547" s="32">
        <f>SUBTOTAL(103,$B$2:B547)*1</f>
        <v>411</v>
      </c>
      <c r="B547" s="53"/>
      <c r="C547" s="53"/>
      <c r="D547" s="32"/>
      <c r="E547" s="35"/>
      <c r="F547" s="32"/>
      <c r="G547" s="37"/>
      <c r="H547" s="32"/>
      <c r="I547" s="38"/>
      <c r="J547" s="52"/>
      <c r="K547" s="52"/>
      <c r="L547" s="52"/>
      <c r="M547" s="52"/>
      <c r="N547" s="53"/>
      <c r="O547" s="28"/>
    </row>
    <row r="548" spans="1:15" s="22" customFormat="1" ht="26.25">
      <c r="A548" s="32">
        <f>SUBTOTAL(103,$B$2:B548)*1</f>
        <v>411</v>
      </c>
      <c r="B548" s="53"/>
      <c r="C548" s="53"/>
      <c r="D548" s="32"/>
      <c r="E548" s="35"/>
      <c r="F548" s="32"/>
      <c r="G548" s="37"/>
      <c r="H548" s="32"/>
      <c r="I548" s="38"/>
      <c r="J548" s="52"/>
      <c r="K548" s="52"/>
      <c r="L548" s="52"/>
      <c r="M548" s="52"/>
      <c r="N548" s="53"/>
      <c r="O548" s="28"/>
    </row>
    <row r="549" spans="1:15" s="22" customFormat="1" ht="26.25">
      <c r="A549" s="32">
        <f>SUBTOTAL(103,$B$2:B549)*1</f>
        <v>411</v>
      </c>
      <c r="B549" s="53"/>
      <c r="C549" s="53"/>
      <c r="D549" s="32"/>
      <c r="E549" s="35"/>
      <c r="F549" s="32"/>
      <c r="G549" s="37"/>
      <c r="H549" s="32"/>
      <c r="I549" s="38"/>
      <c r="J549" s="52"/>
      <c r="K549" s="52"/>
      <c r="L549" s="52"/>
      <c r="M549" s="52"/>
      <c r="N549" s="53"/>
      <c r="O549" s="28"/>
    </row>
    <row r="550" spans="1:15" s="22" customFormat="1" ht="26.25">
      <c r="A550" s="32">
        <f>SUBTOTAL(103,$B$2:B550)*1</f>
        <v>411</v>
      </c>
      <c r="B550" s="53"/>
      <c r="C550" s="53"/>
      <c r="D550" s="32"/>
      <c r="E550" s="35"/>
      <c r="F550" s="32"/>
      <c r="G550" s="37"/>
      <c r="H550" s="32"/>
      <c r="I550" s="38"/>
      <c r="J550" s="52"/>
      <c r="K550" s="52"/>
      <c r="L550" s="52"/>
      <c r="M550" s="52"/>
      <c r="N550" s="53"/>
      <c r="O550" s="28"/>
    </row>
    <row r="551" spans="1:15" s="22" customFormat="1" ht="26.25">
      <c r="A551" s="32">
        <f>SUBTOTAL(103,$B$2:B551)*1</f>
        <v>411</v>
      </c>
      <c r="B551" s="53"/>
      <c r="C551" s="53"/>
      <c r="D551" s="32"/>
      <c r="E551" s="35"/>
      <c r="F551" s="32"/>
      <c r="G551" s="37"/>
      <c r="H551" s="32"/>
      <c r="I551" s="38"/>
      <c r="J551" s="52"/>
      <c r="K551" s="52"/>
      <c r="L551" s="52"/>
      <c r="M551" s="52"/>
      <c r="N551" s="53"/>
      <c r="O551" s="28"/>
    </row>
    <row r="552" spans="1:15" s="22" customFormat="1" ht="26.25">
      <c r="A552" s="32">
        <f>SUBTOTAL(103,$B$2:B552)*1</f>
        <v>411</v>
      </c>
      <c r="B552" s="53"/>
      <c r="C552" s="53"/>
      <c r="D552" s="32"/>
      <c r="E552" s="35"/>
      <c r="F552" s="32"/>
      <c r="G552" s="37"/>
      <c r="H552" s="32"/>
      <c r="I552" s="38"/>
      <c r="J552" s="52"/>
      <c r="K552" s="52"/>
      <c r="L552" s="52"/>
      <c r="M552" s="52"/>
      <c r="N552" s="53"/>
      <c r="O552" s="28"/>
    </row>
    <row r="553" spans="1:15" s="22" customFormat="1" ht="26.25">
      <c r="A553" s="32">
        <f>SUBTOTAL(103,$B$2:B553)*1</f>
        <v>411</v>
      </c>
      <c r="B553" s="53"/>
      <c r="C553" s="53"/>
      <c r="D553" s="32"/>
      <c r="E553" s="35"/>
      <c r="F553" s="32"/>
      <c r="G553" s="37"/>
      <c r="H553" s="32"/>
      <c r="I553" s="38"/>
      <c r="J553" s="52"/>
      <c r="K553" s="52"/>
      <c r="L553" s="52"/>
      <c r="M553" s="52"/>
      <c r="N553" s="53"/>
      <c r="O553" s="28"/>
    </row>
    <row r="554" spans="1:15" s="22" customFormat="1" ht="26.25">
      <c r="A554" s="32">
        <f>SUBTOTAL(103,$B$2:B554)*1</f>
        <v>411</v>
      </c>
      <c r="B554" s="53"/>
      <c r="C554" s="53"/>
      <c r="D554" s="32"/>
      <c r="E554" s="35"/>
      <c r="F554" s="32"/>
      <c r="G554" s="37"/>
      <c r="H554" s="32"/>
      <c r="I554" s="38"/>
      <c r="J554" s="52"/>
      <c r="K554" s="52"/>
      <c r="L554" s="52"/>
      <c r="M554" s="52"/>
      <c r="N554" s="53"/>
      <c r="O554" s="28"/>
    </row>
    <row r="555" spans="1:15" s="22" customFormat="1" ht="26.25">
      <c r="A555" s="32">
        <f>SUBTOTAL(103,$B$2:B555)*1</f>
        <v>411</v>
      </c>
      <c r="B555" s="53"/>
      <c r="C555" s="53"/>
      <c r="D555" s="32"/>
      <c r="E555" s="35"/>
      <c r="F555" s="32"/>
      <c r="G555" s="37"/>
      <c r="H555" s="32"/>
      <c r="I555" s="38"/>
      <c r="J555" s="52"/>
      <c r="K555" s="52"/>
      <c r="L555" s="52"/>
      <c r="M555" s="52"/>
      <c r="N555" s="53"/>
      <c r="O555" s="28"/>
    </row>
    <row r="556" spans="1:15" s="22" customFormat="1" ht="26.25">
      <c r="A556" s="32">
        <f>SUBTOTAL(103,$B$2:B556)*1</f>
        <v>411</v>
      </c>
      <c r="B556" s="53"/>
      <c r="C556" s="53"/>
      <c r="D556" s="32"/>
      <c r="E556" s="35"/>
      <c r="F556" s="32"/>
      <c r="G556" s="37"/>
      <c r="H556" s="32"/>
      <c r="I556" s="38"/>
      <c r="J556" s="52"/>
      <c r="K556" s="52"/>
      <c r="L556" s="52"/>
      <c r="M556" s="52"/>
      <c r="N556" s="53"/>
      <c r="O556" s="28"/>
    </row>
    <row r="557" spans="1:15" s="22" customFormat="1" ht="26.25">
      <c r="A557" s="32">
        <f>SUBTOTAL(103,$B$2:B557)*1</f>
        <v>411</v>
      </c>
      <c r="B557" s="53"/>
      <c r="C557" s="53"/>
      <c r="D557" s="32"/>
      <c r="E557" s="35"/>
      <c r="F557" s="32"/>
      <c r="G557" s="37"/>
      <c r="H557" s="32"/>
      <c r="I557" s="38"/>
      <c r="J557" s="52"/>
      <c r="K557" s="52"/>
      <c r="L557" s="52"/>
      <c r="M557" s="52"/>
      <c r="N557" s="53"/>
      <c r="O557" s="28"/>
    </row>
    <row r="558" spans="1:15" s="22" customFormat="1" ht="26.25">
      <c r="A558" s="32">
        <f>SUBTOTAL(103,$B$2:B558)*1</f>
        <v>411</v>
      </c>
      <c r="B558" s="53"/>
      <c r="C558" s="53"/>
      <c r="D558" s="32"/>
      <c r="E558" s="35"/>
      <c r="F558" s="32"/>
      <c r="G558" s="37"/>
      <c r="H558" s="32"/>
      <c r="I558" s="38"/>
      <c r="J558" s="52"/>
      <c r="K558" s="52"/>
      <c r="L558" s="52"/>
      <c r="M558" s="52"/>
      <c r="N558" s="53"/>
      <c r="O558" s="28"/>
    </row>
    <row r="559" spans="1:15" s="22" customFormat="1" ht="26.25">
      <c r="A559" s="32">
        <f>SUBTOTAL(103,$B$2:B559)*1</f>
        <v>411</v>
      </c>
      <c r="B559" s="53"/>
      <c r="C559" s="53"/>
      <c r="D559" s="32"/>
      <c r="E559" s="35"/>
      <c r="F559" s="32"/>
      <c r="G559" s="37"/>
      <c r="H559" s="32"/>
      <c r="I559" s="38"/>
      <c r="J559" s="52"/>
      <c r="K559" s="52"/>
      <c r="L559" s="52"/>
      <c r="M559" s="52"/>
      <c r="N559" s="53"/>
      <c r="O559" s="28"/>
    </row>
    <row r="560" spans="1:15" s="22" customFormat="1" ht="26.25">
      <c r="A560" s="32">
        <f>SUBTOTAL(103,$B$2:B560)*1</f>
        <v>411</v>
      </c>
      <c r="B560" s="53"/>
      <c r="C560" s="53"/>
      <c r="D560" s="32"/>
      <c r="E560" s="35"/>
      <c r="F560" s="32"/>
      <c r="G560" s="37"/>
      <c r="H560" s="32"/>
      <c r="I560" s="38"/>
      <c r="J560" s="52"/>
      <c r="K560" s="52"/>
      <c r="L560" s="52"/>
      <c r="M560" s="52"/>
      <c r="N560" s="53"/>
      <c r="O560" s="28"/>
    </row>
    <row r="561" spans="1:15" s="22" customFormat="1" ht="26.25">
      <c r="A561" s="32">
        <f>SUBTOTAL(103,$B$2:B561)*1</f>
        <v>411</v>
      </c>
      <c r="B561" s="53"/>
      <c r="C561" s="53"/>
      <c r="D561" s="32"/>
      <c r="E561" s="35"/>
      <c r="F561" s="32"/>
      <c r="G561" s="37"/>
      <c r="H561" s="32"/>
      <c r="I561" s="38"/>
      <c r="J561" s="52"/>
      <c r="K561" s="52"/>
      <c r="L561" s="52"/>
      <c r="M561" s="52"/>
      <c r="N561" s="53"/>
      <c r="O561" s="28"/>
    </row>
    <row r="562" spans="1:15" s="22" customFormat="1" ht="26.25">
      <c r="A562" s="32">
        <f>SUBTOTAL(103,$B$2:B562)*1</f>
        <v>411</v>
      </c>
      <c r="B562" s="53"/>
      <c r="C562" s="53"/>
      <c r="D562" s="32"/>
      <c r="E562" s="35"/>
      <c r="F562" s="32"/>
      <c r="G562" s="37"/>
      <c r="H562" s="32"/>
      <c r="I562" s="38"/>
      <c r="J562" s="52"/>
      <c r="K562" s="52"/>
      <c r="L562" s="52"/>
      <c r="M562" s="52"/>
      <c r="N562" s="53"/>
      <c r="O562" s="28"/>
    </row>
    <row r="563" spans="1:15" s="22" customFormat="1" ht="26.25">
      <c r="A563" s="32">
        <f>SUBTOTAL(103,$B$2:B563)*1</f>
        <v>411</v>
      </c>
      <c r="B563" s="53"/>
      <c r="C563" s="53"/>
      <c r="D563" s="32"/>
      <c r="E563" s="35"/>
      <c r="F563" s="32"/>
      <c r="G563" s="37"/>
      <c r="H563" s="32"/>
      <c r="I563" s="38"/>
      <c r="J563" s="52"/>
      <c r="K563" s="52"/>
      <c r="L563" s="52"/>
      <c r="M563" s="52"/>
      <c r="N563" s="53"/>
      <c r="O563" s="28"/>
    </row>
    <row r="564" spans="1:15" s="22" customFormat="1" ht="26.25">
      <c r="A564" s="32">
        <f>SUBTOTAL(103,$B$2:B564)*1</f>
        <v>411</v>
      </c>
      <c r="B564" s="53"/>
      <c r="C564" s="53"/>
      <c r="D564" s="32"/>
      <c r="E564" s="35"/>
      <c r="F564" s="32"/>
      <c r="G564" s="37"/>
      <c r="H564" s="32"/>
      <c r="I564" s="38"/>
      <c r="J564" s="52"/>
      <c r="K564" s="52"/>
      <c r="L564" s="52"/>
      <c r="M564" s="52"/>
      <c r="N564" s="53"/>
      <c r="O564" s="28"/>
    </row>
    <row r="565" spans="1:15" s="22" customFormat="1" ht="26.25">
      <c r="A565" s="32">
        <f>SUBTOTAL(103,$B$2:B565)*1</f>
        <v>411</v>
      </c>
      <c r="B565" s="53"/>
      <c r="C565" s="53"/>
      <c r="D565" s="32"/>
      <c r="E565" s="35"/>
      <c r="F565" s="32"/>
      <c r="G565" s="37"/>
      <c r="H565" s="32"/>
      <c r="I565" s="38"/>
      <c r="J565" s="52"/>
      <c r="K565" s="52"/>
      <c r="L565" s="52"/>
      <c r="M565" s="52"/>
      <c r="N565" s="53"/>
      <c r="O565" s="28"/>
    </row>
    <row r="566" spans="1:15" s="22" customFormat="1" ht="26.25">
      <c r="A566" s="32">
        <f>SUBTOTAL(103,$B$2:B566)*1</f>
        <v>411</v>
      </c>
      <c r="B566" s="53"/>
      <c r="C566" s="53"/>
      <c r="D566" s="32"/>
      <c r="E566" s="35"/>
      <c r="F566" s="32"/>
      <c r="G566" s="37"/>
      <c r="H566" s="32"/>
      <c r="I566" s="38"/>
      <c r="J566" s="52"/>
      <c r="K566" s="52"/>
      <c r="L566" s="52"/>
      <c r="M566" s="52"/>
      <c r="N566" s="53"/>
      <c r="O566" s="28"/>
    </row>
    <row r="567" spans="1:15" s="22" customFormat="1" ht="26.25">
      <c r="A567" s="32">
        <f>SUBTOTAL(103,$B$2:B567)*1</f>
        <v>411</v>
      </c>
      <c r="B567" s="53"/>
      <c r="C567" s="53"/>
      <c r="D567" s="32"/>
      <c r="E567" s="35"/>
      <c r="F567" s="32"/>
      <c r="G567" s="37"/>
      <c r="H567" s="32"/>
      <c r="I567" s="38"/>
      <c r="J567" s="52"/>
      <c r="K567" s="52"/>
      <c r="L567" s="52"/>
      <c r="M567" s="52"/>
      <c r="N567" s="53"/>
      <c r="O567" s="28"/>
    </row>
    <row r="568" spans="1:15" s="22" customFormat="1" ht="26.25">
      <c r="A568" s="32">
        <f>SUBTOTAL(103,$B$2:B568)*1</f>
        <v>411</v>
      </c>
      <c r="B568" s="53"/>
      <c r="C568" s="53"/>
      <c r="D568" s="32"/>
      <c r="E568" s="35"/>
      <c r="F568" s="32"/>
      <c r="G568" s="37"/>
      <c r="H568" s="32"/>
      <c r="I568" s="38"/>
      <c r="J568" s="52"/>
      <c r="K568" s="52"/>
      <c r="L568" s="52"/>
      <c r="M568" s="52"/>
      <c r="N568" s="53"/>
      <c r="O568" s="28"/>
    </row>
    <row r="569" spans="1:15" s="22" customFormat="1" ht="26.25">
      <c r="A569" s="32">
        <f>SUBTOTAL(103,$B$2:B569)*1</f>
        <v>411</v>
      </c>
      <c r="B569" s="53"/>
      <c r="C569" s="53"/>
      <c r="D569" s="32"/>
      <c r="E569" s="35"/>
      <c r="F569" s="32"/>
      <c r="G569" s="37"/>
      <c r="H569" s="32"/>
      <c r="I569" s="38"/>
      <c r="J569" s="52"/>
      <c r="K569" s="52"/>
      <c r="L569" s="52"/>
      <c r="M569" s="52"/>
      <c r="N569" s="53"/>
      <c r="O569" s="28"/>
    </row>
    <row r="570" spans="1:15" s="22" customFormat="1" ht="26.25">
      <c r="A570" s="32">
        <f>SUBTOTAL(103,$B$2:B570)*1</f>
        <v>411</v>
      </c>
      <c r="B570" s="53"/>
      <c r="C570" s="53"/>
      <c r="D570" s="32"/>
      <c r="E570" s="35"/>
      <c r="F570" s="32"/>
      <c r="G570" s="37"/>
      <c r="H570" s="32"/>
      <c r="I570" s="38"/>
      <c r="J570" s="52"/>
      <c r="K570" s="52"/>
      <c r="L570" s="52"/>
      <c r="M570" s="52"/>
      <c r="N570" s="53"/>
      <c r="O570" s="28"/>
    </row>
    <row r="571" spans="1:15" s="22" customFormat="1" ht="26.25">
      <c r="A571" s="32">
        <f>SUBTOTAL(103,$B$2:B571)*1</f>
        <v>411</v>
      </c>
      <c r="B571" s="53"/>
      <c r="C571" s="53"/>
      <c r="D571" s="32"/>
      <c r="E571" s="35"/>
      <c r="F571" s="32"/>
      <c r="G571" s="37"/>
      <c r="H571" s="32"/>
      <c r="I571" s="38"/>
      <c r="J571" s="52"/>
      <c r="K571" s="52"/>
      <c r="L571" s="52"/>
      <c r="M571" s="52"/>
      <c r="N571" s="53"/>
      <c r="O571" s="28"/>
    </row>
    <row r="572" spans="1:15" s="22" customFormat="1" ht="26.25">
      <c r="A572" s="32">
        <f>SUBTOTAL(103,$B$2:B572)*1</f>
        <v>411</v>
      </c>
      <c r="B572" s="53"/>
      <c r="C572" s="53"/>
      <c r="D572" s="32"/>
      <c r="E572" s="35"/>
      <c r="F572" s="32"/>
      <c r="G572" s="37"/>
      <c r="H572" s="32"/>
      <c r="I572" s="38"/>
      <c r="J572" s="52"/>
      <c r="K572" s="52"/>
      <c r="L572" s="52"/>
      <c r="M572" s="52"/>
      <c r="N572" s="53"/>
      <c r="O572" s="28"/>
    </row>
    <row r="573" spans="1:15" s="22" customFormat="1" ht="26.25">
      <c r="A573" s="32">
        <f>SUBTOTAL(103,$B$2:B573)*1</f>
        <v>411</v>
      </c>
      <c r="B573" s="53"/>
      <c r="C573" s="53"/>
      <c r="D573" s="32"/>
      <c r="E573" s="35"/>
      <c r="F573" s="32"/>
      <c r="G573" s="37"/>
      <c r="H573" s="32"/>
      <c r="I573" s="38"/>
      <c r="J573" s="52"/>
      <c r="K573" s="52"/>
      <c r="L573" s="52"/>
      <c r="M573" s="52"/>
      <c r="N573" s="53"/>
      <c r="O573" s="28"/>
    </row>
    <row r="574" spans="1:15" s="22" customFormat="1" ht="26.25">
      <c r="A574" s="32">
        <f>SUBTOTAL(103,$B$2:B574)*1</f>
        <v>411</v>
      </c>
      <c r="B574" s="53"/>
      <c r="C574" s="53"/>
      <c r="D574" s="32"/>
      <c r="E574" s="35"/>
      <c r="F574" s="32"/>
      <c r="G574" s="37"/>
      <c r="H574" s="32"/>
      <c r="I574" s="38"/>
      <c r="J574" s="52"/>
      <c r="K574" s="52"/>
      <c r="L574" s="52"/>
      <c r="M574" s="52"/>
      <c r="N574" s="53"/>
      <c r="O574" s="28"/>
    </row>
    <row r="575" spans="1:15" s="22" customFormat="1" ht="26.25">
      <c r="A575" s="32">
        <f>SUBTOTAL(103,$B$2:B575)*1</f>
        <v>411</v>
      </c>
      <c r="B575" s="53"/>
      <c r="C575" s="53"/>
      <c r="D575" s="32"/>
      <c r="E575" s="35"/>
      <c r="F575" s="32"/>
      <c r="G575" s="37"/>
      <c r="H575" s="32"/>
      <c r="I575" s="38"/>
      <c r="J575" s="52"/>
      <c r="K575" s="52"/>
      <c r="L575" s="52"/>
      <c r="M575" s="52"/>
      <c r="N575" s="53"/>
      <c r="O575" s="28"/>
    </row>
    <row r="576" spans="1:15" s="22" customFormat="1" ht="26.25">
      <c r="A576" s="32">
        <f>SUBTOTAL(103,$B$2:B576)*1</f>
        <v>411</v>
      </c>
      <c r="B576" s="53"/>
      <c r="C576" s="53"/>
      <c r="D576" s="32"/>
      <c r="E576" s="35"/>
      <c r="F576" s="32"/>
      <c r="G576" s="37"/>
      <c r="H576" s="32"/>
      <c r="I576" s="38"/>
      <c r="J576" s="52"/>
      <c r="K576" s="52"/>
      <c r="L576" s="52"/>
      <c r="M576" s="52"/>
      <c r="N576" s="53"/>
      <c r="O576" s="28"/>
    </row>
    <row r="577" spans="1:15" s="22" customFormat="1" ht="26.25">
      <c r="A577" s="32">
        <f>SUBTOTAL(103,$B$2:B577)*1</f>
        <v>411</v>
      </c>
      <c r="B577" s="53"/>
      <c r="C577" s="53"/>
      <c r="D577" s="32"/>
      <c r="E577" s="35"/>
      <c r="F577" s="32"/>
      <c r="G577" s="37"/>
      <c r="H577" s="32"/>
      <c r="I577" s="38"/>
      <c r="J577" s="52"/>
      <c r="K577" s="52"/>
      <c r="L577" s="52"/>
      <c r="M577" s="52"/>
      <c r="N577" s="53"/>
      <c r="O577" s="28"/>
    </row>
    <row r="578" spans="1:15" s="22" customFormat="1" ht="26.25">
      <c r="A578" s="32">
        <f>SUBTOTAL(103,$B$2:B578)*1</f>
        <v>411</v>
      </c>
      <c r="B578" s="53"/>
      <c r="C578" s="53"/>
      <c r="D578" s="32"/>
      <c r="E578" s="35"/>
      <c r="F578" s="32"/>
      <c r="G578" s="37"/>
      <c r="H578" s="32"/>
      <c r="I578" s="38"/>
      <c r="J578" s="52"/>
      <c r="K578" s="52"/>
      <c r="L578" s="52"/>
      <c r="M578" s="52"/>
      <c r="N578" s="53"/>
      <c r="O578" s="28"/>
    </row>
    <row r="579" spans="1:15" s="22" customFormat="1" ht="26.25">
      <c r="A579" s="32">
        <f>SUBTOTAL(103,$B$2:B579)*1</f>
        <v>411</v>
      </c>
      <c r="B579" s="53"/>
      <c r="C579" s="53"/>
      <c r="D579" s="32"/>
      <c r="E579" s="35"/>
      <c r="F579" s="32"/>
      <c r="G579" s="37"/>
      <c r="H579" s="32"/>
      <c r="I579" s="38"/>
      <c r="J579" s="52"/>
      <c r="K579" s="52"/>
      <c r="L579" s="52"/>
      <c r="M579" s="52"/>
      <c r="N579" s="53"/>
      <c r="O579" s="28"/>
    </row>
    <row r="580" spans="1:15" s="22" customFormat="1" ht="26.25">
      <c r="A580" s="32">
        <f>SUBTOTAL(103,$B$2:B580)*1</f>
        <v>411</v>
      </c>
      <c r="B580" s="53"/>
      <c r="C580" s="53"/>
      <c r="D580" s="32"/>
      <c r="E580" s="35"/>
      <c r="F580" s="32"/>
      <c r="G580" s="37"/>
      <c r="H580" s="32"/>
      <c r="I580" s="38"/>
      <c r="J580" s="52"/>
      <c r="K580" s="52"/>
      <c r="L580" s="52"/>
      <c r="M580" s="52"/>
      <c r="N580" s="53"/>
      <c r="O580" s="28"/>
    </row>
    <row r="581" spans="1:15" s="22" customFormat="1" ht="26.25">
      <c r="A581" s="32">
        <f>SUBTOTAL(103,$B$2:B581)*1</f>
        <v>411</v>
      </c>
      <c r="B581" s="53"/>
      <c r="C581" s="53"/>
      <c r="D581" s="32"/>
      <c r="E581" s="35"/>
      <c r="F581" s="32"/>
      <c r="G581" s="37"/>
      <c r="H581" s="32"/>
      <c r="I581" s="38"/>
      <c r="J581" s="52"/>
      <c r="K581" s="52"/>
      <c r="L581" s="52"/>
      <c r="M581" s="52"/>
      <c r="N581" s="53"/>
      <c r="O581" s="28"/>
    </row>
    <row r="582" spans="1:15" s="22" customFormat="1" ht="26.25">
      <c r="A582" s="32">
        <f>SUBTOTAL(103,$B$2:B582)*1</f>
        <v>411</v>
      </c>
      <c r="B582" s="53"/>
      <c r="C582" s="53"/>
      <c r="D582" s="32"/>
      <c r="E582" s="35"/>
      <c r="F582" s="32"/>
      <c r="G582" s="37"/>
      <c r="H582" s="32"/>
      <c r="I582" s="38"/>
      <c r="J582" s="52"/>
      <c r="K582" s="52"/>
      <c r="L582" s="52"/>
      <c r="M582" s="52"/>
      <c r="N582" s="53"/>
      <c r="O582" s="28"/>
    </row>
    <row r="583" spans="1:15" s="22" customFormat="1" ht="26.25">
      <c r="A583" s="32">
        <f>SUBTOTAL(103,$B$2:B583)*1</f>
        <v>411</v>
      </c>
      <c r="B583" s="53"/>
      <c r="C583" s="53"/>
      <c r="D583" s="32"/>
      <c r="E583" s="35"/>
      <c r="F583" s="32"/>
      <c r="G583" s="37"/>
      <c r="H583" s="32"/>
      <c r="I583" s="38"/>
      <c r="J583" s="52"/>
      <c r="K583" s="52"/>
      <c r="L583" s="52"/>
      <c r="M583" s="52"/>
      <c r="N583" s="53"/>
      <c r="O583" s="28"/>
    </row>
    <row r="584" spans="1:15" s="22" customFormat="1" ht="26.25">
      <c r="A584" s="32">
        <f>SUBTOTAL(103,$B$2:B584)*1</f>
        <v>411</v>
      </c>
      <c r="B584" s="53"/>
      <c r="C584" s="53"/>
      <c r="D584" s="32"/>
      <c r="E584" s="35"/>
      <c r="F584" s="32"/>
      <c r="G584" s="37"/>
      <c r="H584" s="32"/>
      <c r="I584" s="38"/>
      <c r="J584" s="52"/>
      <c r="K584" s="52"/>
      <c r="L584" s="52"/>
      <c r="M584" s="52"/>
      <c r="N584" s="53"/>
      <c r="O584" s="28"/>
    </row>
    <row r="585" spans="1:15" s="22" customFormat="1" ht="26.25">
      <c r="A585" s="32">
        <f>SUBTOTAL(103,$B$2:B585)*1</f>
        <v>411</v>
      </c>
      <c r="B585" s="53"/>
      <c r="C585" s="53"/>
      <c r="D585" s="32"/>
      <c r="E585" s="35"/>
      <c r="F585" s="32"/>
      <c r="G585" s="37"/>
      <c r="H585" s="32"/>
      <c r="I585" s="38"/>
      <c r="J585" s="52"/>
      <c r="K585" s="52"/>
      <c r="L585" s="52"/>
      <c r="M585" s="52"/>
      <c r="N585" s="53"/>
      <c r="O585" s="28"/>
    </row>
    <row r="586" spans="1:15" s="22" customFormat="1" ht="26.25">
      <c r="A586" s="32">
        <f>SUBTOTAL(103,$B$2:B586)*1</f>
        <v>411</v>
      </c>
      <c r="B586" s="53"/>
      <c r="C586" s="53"/>
      <c r="D586" s="32"/>
      <c r="E586" s="35"/>
      <c r="F586" s="32"/>
      <c r="G586" s="37"/>
      <c r="H586" s="32"/>
      <c r="I586" s="38"/>
      <c r="J586" s="52"/>
      <c r="K586" s="52"/>
      <c r="L586" s="52"/>
      <c r="M586" s="52"/>
      <c r="N586" s="53"/>
      <c r="O586" s="28"/>
    </row>
    <row r="587" spans="1:15" s="22" customFormat="1" ht="26.25">
      <c r="A587" s="32">
        <f>SUBTOTAL(103,$B$2:B587)*1</f>
        <v>411</v>
      </c>
      <c r="B587" s="53"/>
      <c r="C587" s="53"/>
      <c r="D587" s="32"/>
      <c r="E587" s="35"/>
      <c r="F587" s="32"/>
      <c r="G587" s="37"/>
      <c r="H587" s="32"/>
      <c r="I587" s="38"/>
      <c r="J587" s="52"/>
      <c r="K587" s="52"/>
      <c r="L587" s="52"/>
      <c r="M587" s="52"/>
      <c r="N587" s="53"/>
      <c r="O587" s="28"/>
    </row>
    <row r="588" spans="1:15" s="22" customFormat="1" ht="26.25">
      <c r="A588" s="32">
        <f>SUBTOTAL(103,$B$2:B588)*1</f>
        <v>411</v>
      </c>
      <c r="B588" s="53"/>
      <c r="C588" s="53"/>
      <c r="D588" s="32"/>
      <c r="E588" s="35"/>
      <c r="F588" s="32"/>
      <c r="G588" s="37"/>
      <c r="H588" s="32"/>
      <c r="I588" s="38"/>
      <c r="J588" s="52"/>
      <c r="K588" s="52"/>
      <c r="L588" s="52"/>
      <c r="M588" s="52"/>
      <c r="N588" s="53"/>
      <c r="O588" s="28"/>
    </row>
    <row r="589" spans="1:15" s="22" customFormat="1" ht="26.25">
      <c r="A589" s="32">
        <f>SUBTOTAL(103,$B$2:B589)*1</f>
        <v>411</v>
      </c>
      <c r="B589" s="53"/>
      <c r="C589" s="53"/>
      <c r="D589" s="32"/>
      <c r="E589" s="35"/>
      <c r="F589" s="32"/>
      <c r="G589" s="37"/>
      <c r="H589" s="32"/>
      <c r="I589" s="38"/>
      <c r="J589" s="52"/>
      <c r="K589" s="52"/>
      <c r="L589" s="52"/>
      <c r="M589" s="52"/>
      <c r="N589" s="53"/>
      <c r="O589" s="28"/>
    </row>
    <row r="590" spans="1:15" s="22" customFormat="1" ht="26.25">
      <c r="A590" s="32">
        <f>SUBTOTAL(103,$B$2:B590)*1</f>
        <v>411</v>
      </c>
      <c r="B590" s="53"/>
      <c r="C590" s="53"/>
      <c r="D590" s="32"/>
      <c r="E590" s="35"/>
      <c r="F590" s="32"/>
      <c r="G590" s="37"/>
      <c r="H590" s="32"/>
      <c r="I590" s="38"/>
      <c r="J590" s="52"/>
      <c r="K590" s="52"/>
      <c r="L590" s="52"/>
      <c r="M590" s="52"/>
      <c r="N590" s="53"/>
      <c r="O590" s="28"/>
    </row>
    <row r="591" spans="1:15" s="22" customFormat="1" ht="26.25">
      <c r="A591" s="32">
        <f>SUBTOTAL(103,$B$2:B591)*1</f>
        <v>411</v>
      </c>
      <c r="B591" s="53"/>
      <c r="C591" s="53"/>
      <c r="D591" s="32"/>
      <c r="E591" s="35"/>
      <c r="F591" s="32"/>
      <c r="G591" s="37"/>
      <c r="H591" s="32"/>
      <c r="I591" s="38"/>
      <c r="J591" s="52"/>
      <c r="K591" s="52"/>
      <c r="L591" s="52"/>
      <c r="M591" s="52"/>
      <c r="N591" s="53"/>
      <c r="O591" s="28"/>
    </row>
    <row r="592" spans="1:15" s="22" customFormat="1" ht="26.25">
      <c r="A592" s="32">
        <f>SUBTOTAL(103,$B$2:B592)*1</f>
        <v>411</v>
      </c>
      <c r="B592" s="53"/>
      <c r="C592" s="53"/>
      <c r="D592" s="32"/>
      <c r="E592" s="35"/>
      <c r="F592" s="32"/>
      <c r="G592" s="37"/>
      <c r="H592" s="32"/>
      <c r="I592" s="38"/>
      <c r="J592" s="52"/>
      <c r="K592" s="52"/>
      <c r="L592" s="52"/>
      <c r="M592" s="52"/>
      <c r="N592" s="53"/>
      <c r="O592" s="28"/>
    </row>
    <row r="593" spans="1:15" s="22" customFormat="1" ht="26.25">
      <c r="A593" s="32">
        <f>SUBTOTAL(103,$B$2:B593)*1</f>
        <v>411</v>
      </c>
      <c r="B593" s="53"/>
      <c r="C593" s="53"/>
      <c r="D593" s="32"/>
      <c r="E593" s="35"/>
      <c r="F593" s="32"/>
      <c r="G593" s="37"/>
      <c r="H593" s="32"/>
      <c r="I593" s="38"/>
      <c r="J593" s="52"/>
      <c r="K593" s="52"/>
      <c r="L593" s="52"/>
      <c r="M593" s="52"/>
      <c r="N593" s="53"/>
      <c r="O593" s="28"/>
    </row>
    <row r="594" spans="1:15" s="22" customFormat="1" ht="26.25">
      <c r="A594" s="32">
        <f>SUBTOTAL(103,$B$2:B594)*1</f>
        <v>411</v>
      </c>
      <c r="B594" s="53"/>
      <c r="C594" s="53"/>
      <c r="D594" s="32"/>
      <c r="E594" s="35"/>
      <c r="F594" s="32"/>
      <c r="G594" s="37"/>
      <c r="H594" s="32"/>
      <c r="I594" s="38"/>
      <c r="J594" s="52"/>
      <c r="K594" s="52"/>
      <c r="L594" s="52"/>
      <c r="M594" s="52"/>
      <c r="N594" s="53"/>
      <c r="O594" s="28"/>
    </row>
    <row r="595" spans="1:15" s="22" customFormat="1" ht="26.25">
      <c r="A595" s="32">
        <f>SUBTOTAL(103,$B$2:B595)*1</f>
        <v>411</v>
      </c>
      <c r="B595" s="53"/>
      <c r="C595" s="53"/>
      <c r="D595" s="32"/>
      <c r="E595" s="35"/>
      <c r="F595" s="32"/>
      <c r="G595" s="37"/>
      <c r="H595" s="32"/>
      <c r="I595" s="38"/>
      <c r="J595" s="52"/>
      <c r="K595" s="52"/>
      <c r="L595" s="52"/>
      <c r="M595" s="52"/>
      <c r="N595" s="53"/>
      <c r="O595" s="28"/>
    </row>
    <row r="596" spans="1:15" s="22" customFormat="1" ht="26.25">
      <c r="A596" s="32">
        <f>SUBTOTAL(103,$B$2:B596)*1</f>
        <v>411</v>
      </c>
      <c r="B596" s="53"/>
      <c r="C596" s="53"/>
      <c r="D596" s="32"/>
      <c r="E596" s="35"/>
      <c r="F596" s="32"/>
      <c r="G596" s="37"/>
      <c r="H596" s="32"/>
      <c r="I596" s="38"/>
      <c r="J596" s="52"/>
      <c r="K596" s="52"/>
      <c r="L596" s="52"/>
      <c r="M596" s="52"/>
      <c r="N596" s="53"/>
      <c r="O596" s="28"/>
    </row>
    <row r="597" spans="1:15" s="22" customFormat="1" ht="26.25">
      <c r="A597" s="32">
        <f>SUBTOTAL(103,$B$2:B597)*1</f>
        <v>411</v>
      </c>
      <c r="B597" s="53"/>
      <c r="C597" s="53"/>
      <c r="D597" s="32"/>
      <c r="E597" s="35"/>
      <c r="F597" s="32"/>
      <c r="G597" s="37"/>
      <c r="H597" s="32"/>
      <c r="I597" s="38"/>
      <c r="J597" s="52"/>
      <c r="K597" s="52"/>
      <c r="L597" s="52"/>
      <c r="M597" s="52"/>
      <c r="N597" s="53"/>
      <c r="O597" s="28"/>
    </row>
    <row r="598" spans="1:15" s="22" customFormat="1" ht="26.25">
      <c r="A598" s="32">
        <f>SUBTOTAL(103,$B$2:B598)*1</f>
        <v>411</v>
      </c>
      <c r="B598" s="53"/>
      <c r="C598" s="53"/>
      <c r="D598" s="32"/>
      <c r="E598" s="35"/>
      <c r="F598" s="32"/>
      <c r="G598" s="37"/>
      <c r="H598" s="32"/>
      <c r="I598" s="38"/>
      <c r="J598" s="52"/>
      <c r="K598" s="52"/>
      <c r="L598" s="52"/>
      <c r="M598" s="52"/>
      <c r="N598" s="53"/>
      <c r="O598" s="28"/>
    </row>
    <row r="599" spans="1:15" s="22" customFormat="1" ht="26.25">
      <c r="A599" s="32">
        <f>SUBTOTAL(103,$B$2:B599)*1</f>
        <v>411</v>
      </c>
      <c r="B599" s="53"/>
      <c r="C599" s="53"/>
      <c r="D599" s="32"/>
      <c r="E599" s="35"/>
      <c r="F599" s="32"/>
      <c r="G599" s="37"/>
      <c r="H599" s="32"/>
      <c r="I599" s="38"/>
      <c r="J599" s="52"/>
      <c r="K599" s="52"/>
      <c r="L599" s="52"/>
      <c r="M599" s="52"/>
      <c r="N599" s="53"/>
      <c r="O599" s="28"/>
    </row>
    <row r="600" spans="1:15" s="22" customFormat="1" ht="26.25">
      <c r="A600" s="32">
        <f>SUBTOTAL(103,$B$2:B600)*1</f>
        <v>411</v>
      </c>
      <c r="B600" s="53"/>
      <c r="C600" s="53"/>
      <c r="D600" s="32"/>
      <c r="E600" s="35"/>
      <c r="F600" s="32"/>
      <c r="G600" s="37"/>
      <c r="H600" s="32"/>
      <c r="I600" s="38"/>
      <c r="J600" s="52"/>
      <c r="K600" s="52"/>
      <c r="L600" s="52"/>
      <c r="M600" s="52"/>
      <c r="N600" s="53"/>
      <c r="O600" s="28"/>
    </row>
    <row r="601" spans="1:15" s="22" customFormat="1" ht="26.25">
      <c r="A601" s="32">
        <f>SUBTOTAL(103,$B$2:B601)*1</f>
        <v>411</v>
      </c>
      <c r="B601" s="53"/>
      <c r="C601" s="53"/>
      <c r="D601" s="32"/>
      <c r="E601" s="35"/>
      <c r="F601" s="32"/>
      <c r="G601" s="37"/>
      <c r="H601" s="32"/>
      <c r="I601" s="38"/>
      <c r="J601" s="52"/>
      <c r="K601" s="52"/>
      <c r="L601" s="52"/>
      <c r="M601" s="52"/>
      <c r="N601" s="53"/>
      <c r="O601" s="28"/>
    </row>
    <row r="602" spans="1:15" s="22" customFormat="1" ht="26.25">
      <c r="A602" s="32">
        <f>SUBTOTAL(103,$B$2:B602)*1</f>
        <v>411</v>
      </c>
      <c r="B602" s="53"/>
      <c r="C602" s="53"/>
      <c r="D602" s="32"/>
      <c r="E602" s="35"/>
      <c r="F602" s="32"/>
      <c r="G602" s="37"/>
      <c r="H602" s="32"/>
      <c r="I602" s="38"/>
      <c r="J602" s="52"/>
      <c r="K602" s="52"/>
      <c r="L602" s="52"/>
      <c r="M602" s="52"/>
      <c r="N602" s="53"/>
      <c r="O602" s="28"/>
    </row>
    <row r="603" spans="1:15" s="22" customFormat="1" ht="26.25">
      <c r="A603" s="32">
        <f>SUBTOTAL(103,$B$2:B603)*1</f>
        <v>411</v>
      </c>
      <c r="B603" s="53"/>
      <c r="C603" s="53"/>
      <c r="D603" s="32"/>
      <c r="E603" s="35"/>
      <c r="F603" s="32"/>
      <c r="G603" s="37"/>
      <c r="H603" s="32"/>
      <c r="I603" s="38"/>
      <c r="J603" s="52"/>
      <c r="K603" s="52"/>
      <c r="L603" s="52"/>
      <c r="M603" s="52"/>
      <c r="N603" s="53"/>
      <c r="O603" s="28"/>
    </row>
    <row r="604" spans="1:15" s="22" customFormat="1" ht="26.25">
      <c r="A604" s="32">
        <f>SUBTOTAL(103,$B$2:B604)*1</f>
        <v>411</v>
      </c>
      <c r="B604" s="53"/>
      <c r="C604" s="53"/>
      <c r="D604" s="32"/>
      <c r="E604" s="35"/>
      <c r="F604" s="32"/>
      <c r="G604" s="37"/>
      <c r="H604" s="32"/>
      <c r="I604" s="38"/>
      <c r="J604" s="52"/>
      <c r="K604" s="52"/>
      <c r="L604" s="52"/>
      <c r="M604" s="52"/>
      <c r="N604" s="53"/>
      <c r="O604" s="28"/>
    </row>
    <row r="605" spans="1:15" s="22" customFormat="1" ht="26.25">
      <c r="A605" s="32">
        <f>SUBTOTAL(103,$B$2:B605)*1</f>
        <v>411</v>
      </c>
      <c r="B605" s="53"/>
      <c r="C605" s="53"/>
      <c r="D605" s="32"/>
      <c r="E605" s="35"/>
      <c r="F605" s="32"/>
      <c r="G605" s="37"/>
      <c r="H605" s="32"/>
      <c r="I605" s="38"/>
      <c r="J605" s="52"/>
      <c r="K605" s="52"/>
      <c r="L605" s="52"/>
      <c r="M605" s="52"/>
      <c r="N605" s="53"/>
      <c r="O605" s="28"/>
    </row>
    <row r="606" spans="1:15" s="22" customFormat="1" ht="26.25">
      <c r="A606" s="32">
        <f>SUBTOTAL(103,$B$2:B606)*1</f>
        <v>411</v>
      </c>
      <c r="B606" s="53"/>
      <c r="C606" s="53"/>
      <c r="D606" s="32"/>
      <c r="E606" s="35"/>
      <c r="F606" s="32"/>
      <c r="G606" s="37"/>
      <c r="H606" s="32"/>
      <c r="I606" s="38"/>
      <c r="J606" s="52"/>
      <c r="K606" s="52"/>
      <c r="L606" s="52"/>
      <c r="M606" s="52"/>
      <c r="N606" s="53"/>
      <c r="O606" s="28"/>
    </row>
    <row r="607" spans="1:15" s="22" customFormat="1" ht="26.25">
      <c r="A607" s="32">
        <f>SUBTOTAL(103,$B$2:B607)*1</f>
        <v>411</v>
      </c>
      <c r="B607" s="53"/>
      <c r="C607" s="53"/>
      <c r="D607" s="32"/>
      <c r="E607" s="35"/>
      <c r="F607" s="32"/>
      <c r="G607" s="37"/>
      <c r="H607" s="32"/>
      <c r="I607" s="38"/>
      <c r="J607" s="52"/>
      <c r="K607" s="52"/>
      <c r="L607" s="52"/>
      <c r="M607" s="52"/>
      <c r="N607" s="53"/>
      <c r="O607" s="28"/>
    </row>
    <row r="608" spans="1:15" s="22" customFormat="1" ht="26.25">
      <c r="A608" s="32">
        <f>SUBTOTAL(103,$B$2:B608)*1</f>
        <v>411</v>
      </c>
      <c r="B608" s="53"/>
      <c r="C608" s="53"/>
      <c r="D608" s="32"/>
      <c r="E608" s="35"/>
      <c r="F608" s="32"/>
      <c r="G608" s="37"/>
      <c r="H608" s="32"/>
      <c r="I608" s="38"/>
      <c r="J608" s="52"/>
      <c r="K608" s="52"/>
      <c r="L608" s="52"/>
      <c r="M608" s="52"/>
      <c r="N608" s="53"/>
      <c r="O608" s="28"/>
    </row>
    <row r="609" spans="1:15" s="22" customFormat="1" ht="26.25">
      <c r="A609" s="32">
        <f>SUBTOTAL(103,$B$2:B609)*1</f>
        <v>411</v>
      </c>
      <c r="B609" s="53"/>
      <c r="C609" s="53"/>
      <c r="D609" s="32"/>
      <c r="E609" s="35"/>
      <c r="F609" s="32"/>
      <c r="G609" s="37"/>
      <c r="H609" s="32"/>
      <c r="I609" s="38"/>
      <c r="J609" s="52"/>
      <c r="K609" s="52"/>
      <c r="L609" s="52"/>
      <c r="M609" s="52"/>
      <c r="N609" s="53"/>
      <c r="O609" s="28"/>
    </row>
    <row r="610" spans="1:15" s="22" customFormat="1" ht="26.25">
      <c r="A610" s="32">
        <f>SUBTOTAL(103,$B$2:B610)*1</f>
        <v>411</v>
      </c>
      <c r="B610" s="53"/>
      <c r="C610" s="53"/>
      <c r="D610" s="32"/>
      <c r="E610" s="35"/>
      <c r="F610" s="32"/>
      <c r="G610" s="37"/>
      <c r="H610" s="32"/>
      <c r="I610" s="38"/>
      <c r="J610" s="52"/>
      <c r="K610" s="52"/>
      <c r="L610" s="52"/>
      <c r="M610" s="52"/>
      <c r="N610" s="53"/>
      <c r="O610" s="28"/>
    </row>
    <row r="611" spans="1:15" s="22" customFormat="1" ht="26.25">
      <c r="A611" s="32">
        <f>SUBTOTAL(103,$B$2:B611)*1</f>
        <v>411</v>
      </c>
      <c r="B611" s="53"/>
      <c r="C611" s="53"/>
      <c r="D611" s="32"/>
      <c r="E611" s="35"/>
      <c r="F611" s="32"/>
      <c r="G611" s="37"/>
      <c r="H611" s="32"/>
      <c r="I611" s="38"/>
      <c r="J611" s="52"/>
      <c r="K611" s="52"/>
      <c r="L611" s="52"/>
      <c r="M611" s="52"/>
      <c r="N611" s="53"/>
      <c r="O611" s="28"/>
    </row>
    <row r="612" spans="1:15" s="22" customFormat="1" ht="26.25">
      <c r="A612" s="32">
        <f>SUBTOTAL(103,$B$2:B612)*1</f>
        <v>411</v>
      </c>
      <c r="B612" s="53"/>
      <c r="C612" s="53"/>
      <c r="D612" s="32"/>
      <c r="E612" s="35"/>
      <c r="F612" s="32"/>
      <c r="G612" s="37"/>
      <c r="H612" s="32"/>
      <c r="I612" s="38"/>
      <c r="J612" s="52"/>
      <c r="K612" s="52"/>
      <c r="L612" s="52"/>
      <c r="M612" s="52"/>
      <c r="N612" s="53"/>
      <c r="O612" s="28"/>
    </row>
    <row r="613" spans="1:15" s="22" customFormat="1" ht="26.25">
      <c r="A613" s="32">
        <f>SUBTOTAL(103,$B$2:B613)*1</f>
        <v>411</v>
      </c>
      <c r="B613" s="53"/>
      <c r="C613" s="53"/>
      <c r="D613" s="32"/>
      <c r="E613" s="35"/>
      <c r="F613" s="32"/>
      <c r="G613" s="37"/>
      <c r="H613" s="32"/>
      <c r="I613" s="38"/>
      <c r="J613" s="52"/>
      <c r="K613" s="52"/>
      <c r="L613" s="52"/>
      <c r="M613" s="52"/>
      <c r="N613" s="53"/>
      <c r="O613" s="28"/>
    </row>
    <row r="614" spans="1:15" s="22" customFormat="1" ht="26.25">
      <c r="A614" s="32">
        <f>SUBTOTAL(103,$B$2:B614)*1</f>
        <v>411</v>
      </c>
      <c r="B614" s="53"/>
      <c r="C614" s="53"/>
      <c r="D614" s="32"/>
      <c r="E614" s="35"/>
      <c r="F614" s="32"/>
      <c r="G614" s="37"/>
      <c r="H614" s="32"/>
      <c r="I614" s="38"/>
      <c r="J614" s="52"/>
      <c r="K614" s="52"/>
      <c r="L614" s="52"/>
      <c r="M614" s="52"/>
      <c r="N614" s="53"/>
      <c r="O614" s="28"/>
    </row>
    <row r="615" spans="1:15" s="22" customFormat="1" ht="26.25">
      <c r="A615" s="32">
        <f>SUBTOTAL(103,$B$2:B615)*1</f>
        <v>411</v>
      </c>
      <c r="B615" s="53"/>
      <c r="C615" s="53"/>
      <c r="D615" s="32"/>
      <c r="E615" s="35"/>
      <c r="F615" s="32"/>
      <c r="G615" s="37"/>
      <c r="H615" s="32"/>
      <c r="I615" s="38"/>
      <c r="J615" s="52"/>
      <c r="K615" s="52"/>
      <c r="L615" s="52"/>
      <c r="M615" s="52"/>
      <c r="N615" s="53"/>
      <c r="O615" s="28"/>
    </row>
    <row r="616" spans="1:15" s="22" customFormat="1" ht="26.25">
      <c r="A616" s="32">
        <f>SUBTOTAL(103,$B$2:B616)*1</f>
        <v>411</v>
      </c>
      <c r="B616" s="53"/>
      <c r="C616" s="53"/>
      <c r="D616" s="32"/>
      <c r="E616" s="35"/>
      <c r="F616" s="32"/>
      <c r="G616" s="37"/>
      <c r="H616" s="32"/>
      <c r="I616" s="38"/>
      <c r="J616" s="52"/>
      <c r="K616" s="52"/>
      <c r="L616" s="52"/>
      <c r="M616" s="52"/>
      <c r="N616" s="53"/>
      <c r="O616" s="28"/>
    </row>
    <row r="617" spans="1:15" s="22" customFormat="1" ht="26.25">
      <c r="A617" s="32">
        <f>SUBTOTAL(103,$B$2:B617)*1</f>
        <v>411</v>
      </c>
      <c r="B617" s="53"/>
      <c r="C617" s="53"/>
      <c r="D617" s="32"/>
      <c r="E617" s="35"/>
      <c r="F617" s="32"/>
      <c r="G617" s="37"/>
      <c r="H617" s="32"/>
      <c r="I617" s="38"/>
      <c r="J617" s="52"/>
      <c r="K617" s="52"/>
      <c r="L617" s="52"/>
      <c r="M617" s="52"/>
      <c r="N617" s="53"/>
      <c r="O617" s="28"/>
    </row>
    <row r="618" spans="1:15" s="22" customFormat="1" ht="26.25">
      <c r="A618" s="32">
        <f>SUBTOTAL(103,$B$2:B618)*1</f>
        <v>411</v>
      </c>
      <c r="B618" s="53"/>
      <c r="C618" s="53"/>
      <c r="D618" s="32"/>
      <c r="E618" s="35"/>
      <c r="F618" s="32"/>
      <c r="G618" s="37"/>
      <c r="H618" s="32"/>
      <c r="I618" s="38"/>
      <c r="J618" s="52"/>
      <c r="K618" s="52"/>
      <c r="L618" s="52"/>
      <c r="M618" s="52"/>
      <c r="N618" s="53"/>
      <c r="O618" s="28"/>
    </row>
    <row r="619" spans="1:15" s="22" customFormat="1" ht="26.25">
      <c r="A619" s="32">
        <f>SUBTOTAL(103,$B$2:B619)*1</f>
        <v>411</v>
      </c>
      <c r="B619" s="53"/>
      <c r="C619" s="53"/>
      <c r="D619" s="32"/>
      <c r="E619" s="35"/>
      <c r="F619" s="32"/>
      <c r="G619" s="37"/>
      <c r="H619" s="32"/>
      <c r="I619" s="38"/>
      <c r="J619" s="52"/>
      <c r="K619" s="52"/>
      <c r="L619" s="52"/>
      <c r="M619" s="52"/>
      <c r="N619" s="53"/>
      <c r="O619" s="28"/>
    </row>
    <row r="620" spans="1:15" s="22" customFormat="1" ht="26.25">
      <c r="A620" s="32">
        <f>SUBTOTAL(103,$B$2:B620)*1</f>
        <v>411</v>
      </c>
      <c r="B620" s="53"/>
      <c r="C620" s="53"/>
      <c r="D620" s="32"/>
      <c r="E620" s="35"/>
      <c r="F620" s="32"/>
      <c r="G620" s="37"/>
      <c r="H620" s="32"/>
      <c r="I620" s="38"/>
      <c r="J620" s="52"/>
      <c r="K620" s="52"/>
      <c r="L620" s="52"/>
      <c r="M620" s="52"/>
      <c r="N620" s="53"/>
      <c r="O620" s="28"/>
    </row>
    <row r="621" spans="1:15" s="22" customFormat="1" ht="26.25">
      <c r="A621" s="32">
        <f>SUBTOTAL(103,$B$2:B621)*1</f>
        <v>411</v>
      </c>
      <c r="B621" s="53"/>
      <c r="C621" s="53"/>
      <c r="D621" s="32"/>
      <c r="E621" s="35"/>
      <c r="F621" s="32"/>
      <c r="G621" s="37"/>
      <c r="H621" s="32"/>
      <c r="I621" s="38"/>
      <c r="J621" s="52"/>
      <c r="K621" s="52"/>
      <c r="L621" s="52"/>
      <c r="M621" s="52"/>
      <c r="N621" s="53"/>
      <c r="O621" s="28"/>
    </row>
    <row r="622" spans="1:15" s="22" customFormat="1" ht="26.25">
      <c r="A622" s="32">
        <f>SUBTOTAL(103,$B$2:B622)*1</f>
        <v>411</v>
      </c>
      <c r="B622" s="53"/>
      <c r="C622" s="53"/>
      <c r="D622" s="32"/>
      <c r="E622" s="35"/>
      <c r="F622" s="32"/>
      <c r="G622" s="37"/>
      <c r="H622" s="32"/>
      <c r="I622" s="38"/>
      <c r="J622" s="52"/>
      <c r="K622" s="52"/>
      <c r="L622" s="52"/>
      <c r="M622" s="52"/>
      <c r="N622" s="53"/>
      <c r="O622" s="28"/>
    </row>
    <row r="623" spans="1:15" s="22" customFormat="1" ht="26.25">
      <c r="A623" s="32">
        <f>SUBTOTAL(103,$B$2:B623)*1</f>
        <v>411</v>
      </c>
      <c r="B623" s="53"/>
      <c r="C623" s="53"/>
      <c r="D623" s="32"/>
      <c r="E623" s="35"/>
      <c r="F623" s="32"/>
      <c r="G623" s="37"/>
      <c r="H623" s="32"/>
      <c r="I623" s="38"/>
      <c r="J623" s="52"/>
      <c r="K623" s="52"/>
      <c r="L623" s="52"/>
      <c r="M623" s="52"/>
      <c r="N623" s="53"/>
      <c r="O623" s="28"/>
    </row>
    <row r="624" spans="1:15" s="22" customFormat="1" ht="26.25">
      <c r="A624" s="32">
        <f>SUBTOTAL(103,$B$2:B624)*1</f>
        <v>411</v>
      </c>
      <c r="B624" s="53"/>
      <c r="C624" s="53"/>
      <c r="D624" s="32"/>
      <c r="E624" s="35"/>
      <c r="F624" s="32"/>
      <c r="G624" s="37"/>
      <c r="H624" s="32"/>
      <c r="I624" s="38"/>
      <c r="J624" s="52"/>
      <c r="K624" s="52"/>
      <c r="L624" s="52"/>
      <c r="M624" s="52"/>
      <c r="N624" s="53"/>
      <c r="O624" s="28"/>
    </row>
    <row r="625" spans="1:15" s="22" customFormat="1" ht="26.25">
      <c r="A625" s="32">
        <f>SUBTOTAL(103,$B$2:B625)*1</f>
        <v>411</v>
      </c>
      <c r="B625" s="53"/>
      <c r="C625" s="53"/>
      <c r="D625" s="32"/>
      <c r="E625" s="35"/>
      <c r="F625" s="32"/>
      <c r="G625" s="37"/>
      <c r="H625" s="32"/>
      <c r="I625" s="38"/>
      <c r="J625" s="52"/>
      <c r="K625" s="52"/>
      <c r="L625" s="52"/>
      <c r="M625" s="52"/>
      <c r="N625" s="53"/>
      <c r="O625" s="28"/>
    </row>
    <row r="626" spans="1:15" s="22" customFormat="1" ht="26.25">
      <c r="A626" s="32">
        <f>SUBTOTAL(103,$B$2:B626)*1</f>
        <v>411</v>
      </c>
      <c r="B626" s="53"/>
      <c r="C626" s="53"/>
      <c r="D626" s="32"/>
      <c r="E626" s="35"/>
      <c r="F626" s="32"/>
      <c r="G626" s="37"/>
      <c r="H626" s="32"/>
      <c r="I626" s="38"/>
      <c r="J626" s="52"/>
      <c r="K626" s="52"/>
      <c r="L626" s="52"/>
      <c r="M626" s="52"/>
      <c r="N626" s="53"/>
      <c r="O626" s="28"/>
    </row>
    <row r="627" spans="1:15" s="22" customFormat="1" ht="26.25">
      <c r="A627" s="32">
        <f>SUBTOTAL(103,$B$2:B627)*1</f>
        <v>411</v>
      </c>
      <c r="B627" s="53"/>
      <c r="C627" s="53"/>
      <c r="D627" s="32"/>
      <c r="E627" s="35"/>
      <c r="F627" s="32"/>
      <c r="G627" s="37"/>
      <c r="H627" s="32"/>
      <c r="I627" s="38"/>
      <c r="J627" s="52"/>
      <c r="K627" s="52"/>
      <c r="L627" s="52"/>
      <c r="M627" s="52"/>
      <c r="N627" s="53"/>
      <c r="O627" s="28"/>
    </row>
    <row r="628" spans="1:15" s="22" customFormat="1" ht="26.25">
      <c r="A628" s="32">
        <f>SUBTOTAL(103,$B$2:B628)*1</f>
        <v>411</v>
      </c>
      <c r="B628" s="53"/>
      <c r="C628" s="53"/>
      <c r="D628" s="32"/>
      <c r="E628" s="35"/>
      <c r="F628" s="32"/>
      <c r="G628" s="37"/>
      <c r="H628" s="32"/>
      <c r="I628" s="38"/>
      <c r="J628" s="52"/>
      <c r="K628" s="52"/>
      <c r="L628" s="52"/>
      <c r="M628" s="52"/>
      <c r="N628" s="53"/>
      <c r="O628" s="28"/>
    </row>
    <row r="629" spans="1:15" s="22" customFormat="1" ht="26.25">
      <c r="A629" s="32">
        <f>SUBTOTAL(103,$B$2:B629)*1</f>
        <v>411</v>
      </c>
      <c r="B629" s="53"/>
      <c r="C629" s="53"/>
      <c r="D629" s="32"/>
      <c r="E629" s="35"/>
      <c r="F629" s="32"/>
      <c r="G629" s="37"/>
      <c r="H629" s="32"/>
      <c r="I629" s="38"/>
      <c r="J629" s="52"/>
      <c r="K629" s="52"/>
      <c r="L629" s="52"/>
      <c r="M629" s="52"/>
      <c r="N629" s="53"/>
      <c r="O629" s="28"/>
    </row>
    <row r="630" spans="1:15" s="22" customFormat="1" ht="26.25">
      <c r="A630" s="32">
        <f>SUBTOTAL(103,$B$2:B630)*1</f>
        <v>411</v>
      </c>
      <c r="B630" s="53"/>
      <c r="C630" s="53"/>
      <c r="D630" s="32"/>
      <c r="E630" s="35"/>
      <c r="F630" s="32"/>
      <c r="G630" s="37"/>
      <c r="H630" s="32"/>
      <c r="I630" s="38"/>
      <c r="J630" s="52"/>
      <c r="K630" s="52"/>
      <c r="L630" s="52"/>
      <c r="M630" s="52"/>
      <c r="N630" s="53"/>
      <c r="O630" s="28"/>
    </row>
    <row r="631" spans="1:15" s="22" customFormat="1" ht="26.25">
      <c r="A631" s="32">
        <f>SUBTOTAL(103,$B$2:B631)*1</f>
        <v>411</v>
      </c>
      <c r="B631" s="53"/>
      <c r="C631" s="53"/>
      <c r="D631" s="32"/>
      <c r="E631" s="35"/>
      <c r="F631" s="32"/>
      <c r="G631" s="37"/>
      <c r="H631" s="32"/>
      <c r="I631" s="38"/>
      <c r="J631" s="52"/>
      <c r="K631" s="52"/>
      <c r="L631" s="52"/>
      <c r="M631" s="52"/>
      <c r="N631" s="53"/>
      <c r="O631" s="28"/>
    </row>
    <row r="632" spans="1:15" s="22" customFormat="1" ht="26.25">
      <c r="A632" s="32">
        <f>SUBTOTAL(103,$B$2:B632)*1</f>
        <v>411</v>
      </c>
      <c r="B632" s="53"/>
      <c r="C632" s="53"/>
      <c r="D632" s="32"/>
      <c r="E632" s="35"/>
      <c r="F632" s="32"/>
      <c r="G632" s="37"/>
      <c r="H632" s="32"/>
      <c r="I632" s="38"/>
      <c r="J632" s="52"/>
      <c r="K632" s="52"/>
      <c r="L632" s="52"/>
      <c r="M632" s="52"/>
      <c r="N632" s="53"/>
      <c r="O632" s="28"/>
    </row>
    <row r="633" spans="1:15" s="22" customFormat="1" ht="26.25">
      <c r="A633" s="32">
        <f>SUBTOTAL(103,$B$2:B633)*1</f>
        <v>411</v>
      </c>
      <c r="B633" s="53"/>
      <c r="C633" s="53"/>
      <c r="D633" s="32"/>
      <c r="E633" s="35"/>
      <c r="F633" s="32"/>
      <c r="G633" s="37"/>
      <c r="H633" s="32"/>
      <c r="I633" s="38"/>
      <c r="J633" s="52"/>
      <c r="K633" s="52"/>
      <c r="L633" s="52"/>
      <c r="M633" s="52"/>
      <c r="N633" s="53"/>
      <c r="O633" s="28"/>
    </row>
    <row r="634" spans="1:15" s="22" customFormat="1" ht="26.25">
      <c r="A634" s="32">
        <f>SUBTOTAL(103,$B$2:B634)*1</f>
        <v>411</v>
      </c>
      <c r="B634" s="53"/>
      <c r="C634" s="53"/>
      <c r="D634" s="32"/>
      <c r="E634" s="35"/>
      <c r="F634" s="32"/>
      <c r="G634" s="37"/>
      <c r="H634" s="32"/>
      <c r="I634" s="38"/>
      <c r="J634" s="52"/>
      <c r="K634" s="52"/>
      <c r="L634" s="52"/>
      <c r="M634" s="52"/>
      <c r="N634" s="53"/>
      <c r="O634" s="28"/>
    </row>
    <row r="635" spans="1:15" s="22" customFormat="1" ht="26.25">
      <c r="A635" s="32">
        <f>SUBTOTAL(103,$B$2:B635)*1</f>
        <v>411</v>
      </c>
      <c r="B635" s="53"/>
      <c r="C635" s="53"/>
      <c r="D635" s="32"/>
      <c r="E635" s="35"/>
      <c r="F635" s="32"/>
      <c r="G635" s="37"/>
      <c r="H635" s="32"/>
      <c r="I635" s="38"/>
      <c r="J635" s="52"/>
      <c r="K635" s="52"/>
      <c r="L635" s="52"/>
      <c r="M635" s="52"/>
      <c r="N635" s="53"/>
      <c r="O635" s="28"/>
    </row>
    <row r="636" spans="1:15" s="22" customFormat="1" ht="26.25">
      <c r="A636" s="32">
        <f>SUBTOTAL(103,$B$2:B636)*1</f>
        <v>411</v>
      </c>
      <c r="B636" s="53"/>
      <c r="C636" s="53"/>
      <c r="D636" s="32"/>
      <c r="E636" s="35"/>
      <c r="F636" s="32"/>
      <c r="G636" s="37"/>
      <c r="H636" s="32"/>
      <c r="I636" s="38"/>
      <c r="J636" s="52"/>
      <c r="K636" s="52"/>
      <c r="L636" s="52"/>
      <c r="M636" s="52"/>
      <c r="N636" s="53"/>
      <c r="O636" s="28"/>
    </row>
    <row r="637" spans="1:15" s="22" customFormat="1" ht="26.25">
      <c r="A637" s="32">
        <f>SUBTOTAL(103,$B$2:B637)*1</f>
        <v>411</v>
      </c>
      <c r="B637" s="53"/>
      <c r="C637" s="53"/>
      <c r="D637" s="32"/>
      <c r="E637" s="35"/>
      <c r="F637" s="32"/>
      <c r="G637" s="37"/>
      <c r="H637" s="32"/>
      <c r="I637" s="38"/>
      <c r="J637" s="52"/>
      <c r="K637" s="52"/>
      <c r="L637" s="52"/>
      <c r="M637" s="52"/>
      <c r="N637" s="53"/>
      <c r="O637" s="28"/>
    </row>
    <row r="638" spans="1:15" s="22" customFormat="1" ht="26.25">
      <c r="A638" s="32">
        <f>SUBTOTAL(103,$B$2:B638)*1</f>
        <v>411</v>
      </c>
      <c r="B638" s="53"/>
      <c r="C638" s="53"/>
      <c r="D638" s="32"/>
      <c r="E638" s="35"/>
      <c r="F638" s="32"/>
      <c r="G638" s="37"/>
      <c r="H638" s="32"/>
      <c r="I638" s="38"/>
      <c r="J638" s="52"/>
      <c r="K638" s="52"/>
      <c r="L638" s="52"/>
      <c r="M638" s="52"/>
      <c r="N638" s="53"/>
      <c r="O638" s="28"/>
    </row>
    <row r="639" spans="1:15" s="22" customFormat="1" ht="26.25">
      <c r="A639" s="32">
        <f>SUBTOTAL(103,$B$2:B639)*1</f>
        <v>411</v>
      </c>
      <c r="B639" s="53"/>
      <c r="C639" s="53"/>
      <c r="D639" s="32"/>
      <c r="E639" s="35"/>
      <c r="F639" s="32"/>
      <c r="G639" s="37"/>
      <c r="H639" s="32"/>
      <c r="I639" s="38"/>
      <c r="J639" s="52"/>
      <c r="K639" s="52"/>
      <c r="L639" s="52"/>
      <c r="M639" s="52"/>
      <c r="N639" s="53"/>
      <c r="O639" s="28"/>
    </row>
    <row r="640" spans="1:15" s="22" customFormat="1" ht="26.25">
      <c r="A640" s="32">
        <f>SUBTOTAL(103,$B$2:B640)*1</f>
        <v>411</v>
      </c>
      <c r="B640" s="53"/>
      <c r="C640" s="53"/>
      <c r="D640" s="32"/>
      <c r="E640" s="35"/>
      <c r="F640" s="32"/>
      <c r="G640" s="37"/>
      <c r="H640" s="32"/>
      <c r="I640" s="38"/>
      <c r="J640" s="52"/>
      <c r="K640" s="52"/>
      <c r="L640" s="52"/>
      <c r="M640" s="52"/>
      <c r="N640" s="53"/>
      <c r="O640" s="28"/>
    </row>
    <row r="641" spans="1:15" s="22" customFormat="1" ht="26.25">
      <c r="A641" s="32">
        <f>SUBTOTAL(103,$B$2:B641)*1</f>
        <v>411</v>
      </c>
      <c r="B641" s="53"/>
      <c r="C641" s="53"/>
      <c r="D641" s="32"/>
      <c r="E641" s="35"/>
      <c r="F641" s="32"/>
      <c r="G641" s="37"/>
      <c r="H641" s="32"/>
      <c r="I641" s="38"/>
      <c r="J641" s="52"/>
      <c r="K641" s="52"/>
      <c r="L641" s="52"/>
      <c r="M641" s="52"/>
      <c r="N641" s="53"/>
      <c r="O641" s="28"/>
    </row>
    <row r="642" spans="1:15" s="22" customFormat="1" ht="26.25">
      <c r="A642" s="32">
        <f>SUBTOTAL(103,$B$2:B642)*1</f>
        <v>411</v>
      </c>
      <c r="B642" s="53"/>
      <c r="C642" s="53"/>
      <c r="D642" s="32"/>
      <c r="E642" s="35"/>
      <c r="F642" s="32"/>
      <c r="G642" s="37"/>
      <c r="H642" s="32"/>
      <c r="I642" s="38"/>
      <c r="J642" s="52"/>
      <c r="K642" s="52"/>
      <c r="L642" s="52"/>
      <c r="M642" s="52"/>
      <c r="N642" s="53"/>
      <c r="O642" s="28"/>
    </row>
    <row r="643" spans="1:15" s="22" customFormat="1" ht="26.25">
      <c r="A643" s="32">
        <f>SUBTOTAL(103,$B$2:B643)*1</f>
        <v>411</v>
      </c>
      <c r="B643" s="53"/>
      <c r="C643" s="53"/>
      <c r="D643" s="32"/>
      <c r="E643" s="35"/>
      <c r="F643" s="32"/>
      <c r="G643" s="37"/>
      <c r="H643" s="32"/>
      <c r="I643" s="38"/>
      <c r="J643" s="52"/>
      <c r="K643" s="52"/>
      <c r="L643" s="52"/>
      <c r="M643" s="52"/>
      <c r="N643" s="53"/>
      <c r="O643" s="28"/>
    </row>
    <row r="644" spans="1:15" s="22" customFormat="1" ht="26.25">
      <c r="A644" s="32">
        <f>SUBTOTAL(103,$B$2:B644)*1</f>
        <v>411</v>
      </c>
      <c r="B644" s="53"/>
      <c r="C644" s="53"/>
      <c r="D644" s="32"/>
      <c r="E644" s="35"/>
      <c r="F644" s="32"/>
      <c r="G644" s="37"/>
      <c r="H644" s="32"/>
      <c r="I644" s="38"/>
      <c r="J644" s="52"/>
      <c r="K644" s="52"/>
      <c r="L644" s="52"/>
      <c r="M644" s="52"/>
      <c r="N644" s="53"/>
      <c r="O644" s="28"/>
    </row>
    <row r="645" spans="1:15" s="22" customFormat="1" ht="26.25">
      <c r="A645" s="32">
        <f>SUBTOTAL(103,$B$2:B645)*1</f>
        <v>411</v>
      </c>
      <c r="B645" s="53"/>
      <c r="C645" s="53"/>
      <c r="D645" s="32"/>
      <c r="E645" s="35"/>
      <c r="F645" s="32"/>
      <c r="G645" s="37"/>
      <c r="H645" s="32"/>
      <c r="I645" s="38"/>
      <c r="J645" s="52"/>
      <c r="K645" s="52"/>
      <c r="L645" s="52"/>
      <c r="M645" s="52"/>
      <c r="N645" s="53"/>
      <c r="O645" s="28"/>
    </row>
    <row r="646" spans="1:15" s="22" customFormat="1" ht="26.25">
      <c r="A646" s="32">
        <f>SUBTOTAL(103,$B$2:B646)*1</f>
        <v>411</v>
      </c>
      <c r="B646" s="53"/>
      <c r="C646" s="53"/>
      <c r="D646" s="32"/>
      <c r="E646" s="35"/>
      <c r="F646" s="32"/>
      <c r="G646" s="37"/>
      <c r="H646" s="32"/>
      <c r="I646" s="38"/>
      <c r="J646" s="52"/>
      <c r="K646" s="52"/>
      <c r="L646" s="52"/>
      <c r="M646" s="52"/>
      <c r="N646" s="53"/>
      <c r="O646" s="28"/>
    </row>
    <row r="647" spans="1:15" s="22" customFormat="1" ht="26.25">
      <c r="A647" s="32">
        <f>SUBTOTAL(103,$B$2:B647)*1</f>
        <v>411</v>
      </c>
      <c r="B647" s="53"/>
      <c r="C647" s="53"/>
      <c r="D647" s="32"/>
      <c r="E647" s="35"/>
      <c r="F647" s="32"/>
      <c r="G647" s="37"/>
      <c r="H647" s="32"/>
      <c r="I647" s="38"/>
      <c r="J647" s="52"/>
      <c r="K647" s="52"/>
      <c r="L647" s="52"/>
      <c r="M647" s="52"/>
      <c r="N647" s="53"/>
      <c r="O647" s="28"/>
    </row>
    <row r="648" spans="1:15" s="22" customFormat="1" ht="26.25">
      <c r="A648" s="32">
        <f>SUBTOTAL(103,$B$2:B648)*1</f>
        <v>411</v>
      </c>
      <c r="B648" s="53"/>
      <c r="C648" s="53"/>
      <c r="D648" s="32"/>
      <c r="E648" s="35"/>
      <c r="F648" s="32"/>
      <c r="G648" s="37"/>
      <c r="H648" s="32"/>
      <c r="I648" s="38"/>
      <c r="J648" s="52"/>
      <c r="K648" s="52"/>
      <c r="L648" s="52"/>
      <c r="M648" s="52"/>
      <c r="N648" s="53"/>
      <c r="O648" s="28"/>
    </row>
    <row r="649" spans="1:15" s="22" customFormat="1" ht="26.25">
      <c r="A649" s="32">
        <f>SUBTOTAL(103,$B$2:B649)*1</f>
        <v>411</v>
      </c>
      <c r="B649" s="53"/>
      <c r="C649" s="53"/>
      <c r="D649" s="32"/>
      <c r="E649" s="35"/>
      <c r="F649" s="32"/>
      <c r="G649" s="37"/>
      <c r="H649" s="32"/>
      <c r="I649" s="38"/>
      <c r="J649" s="52"/>
      <c r="K649" s="52"/>
      <c r="L649" s="52"/>
      <c r="M649" s="52"/>
      <c r="N649" s="53"/>
      <c r="O649" s="28"/>
    </row>
    <row r="650" spans="1:15" s="22" customFormat="1" ht="26.25">
      <c r="A650" s="32">
        <f>SUBTOTAL(103,$B$2:B650)*1</f>
        <v>411</v>
      </c>
      <c r="B650" s="53"/>
      <c r="C650" s="53"/>
      <c r="D650" s="32"/>
      <c r="E650" s="35"/>
      <c r="F650" s="32"/>
      <c r="G650" s="37"/>
      <c r="H650" s="32"/>
      <c r="I650" s="38"/>
      <c r="J650" s="52"/>
      <c r="K650" s="52"/>
      <c r="L650" s="52"/>
      <c r="M650" s="52"/>
      <c r="N650" s="53"/>
      <c r="O650" s="28"/>
    </row>
    <row r="651" spans="1:15" s="22" customFormat="1" ht="26.25">
      <c r="A651" s="32">
        <f>SUBTOTAL(103,$B$2:B651)*1</f>
        <v>411</v>
      </c>
      <c r="B651" s="53"/>
      <c r="C651" s="53"/>
      <c r="D651" s="32"/>
      <c r="E651" s="35"/>
      <c r="F651" s="32"/>
      <c r="G651" s="37"/>
      <c r="H651" s="32"/>
      <c r="I651" s="38"/>
      <c r="J651" s="52"/>
      <c r="K651" s="52"/>
      <c r="L651" s="52"/>
      <c r="M651" s="52"/>
      <c r="N651" s="53"/>
      <c r="O651" s="28"/>
    </row>
    <row r="652" spans="1:15" s="22" customFormat="1" ht="26.25">
      <c r="A652" s="32">
        <f>SUBTOTAL(103,$B$2:B652)*1</f>
        <v>411</v>
      </c>
      <c r="B652" s="53"/>
      <c r="C652" s="53"/>
      <c r="D652" s="32"/>
      <c r="E652" s="35"/>
      <c r="F652" s="32"/>
      <c r="G652" s="37"/>
      <c r="H652" s="32"/>
      <c r="I652" s="38"/>
      <c r="J652" s="52"/>
      <c r="K652" s="52"/>
      <c r="L652" s="52"/>
      <c r="M652" s="52"/>
      <c r="N652" s="53"/>
      <c r="O652" s="28"/>
    </row>
    <row r="653" spans="1:15" s="22" customFormat="1" ht="26.25">
      <c r="A653" s="32">
        <f>SUBTOTAL(103,$B$2:B653)*1</f>
        <v>411</v>
      </c>
      <c r="B653" s="53"/>
      <c r="C653" s="53"/>
      <c r="D653" s="32"/>
      <c r="E653" s="35"/>
      <c r="F653" s="32"/>
      <c r="G653" s="37"/>
      <c r="H653" s="32"/>
      <c r="I653" s="38"/>
      <c r="J653" s="52"/>
      <c r="K653" s="52"/>
      <c r="L653" s="52"/>
      <c r="M653" s="52"/>
      <c r="N653" s="53"/>
      <c r="O653" s="28"/>
    </row>
    <row r="654" spans="1:15" s="22" customFormat="1" ht="26.25">
      <c r="A654" s="32">
        <f>SUBTOTAL(103,$B$2:B654)*1</f>
        <v>411</v>
      </c>
      <c r="B654" s="53"/>
      <c r="C654" s="53"/>
      <c r="D654" s="32"/>
      <c r="E654" s="35"/>
      <c r="F654" s="32"/>
      <c r="G654" s="37"/>
      <c r="H654" s="32"/>
      <c r="I654" s="38"/>
      <c r="J654" s="52"/>
      <c r="K654" s="52"/>
      <c r="L654" s="52"/>
      <c r="M654" s="52"/>
      <c r="N654" s="53"/>
      <c r="O654" s="28"/>
    </row>
    <row r="655" spans="1:15" s="22" customFormat="1" ht="26.25">
      <c r="A655" s="32">
        <f>SUBTOTAL(103,$B$2:B655)*1</f>
        <v>411</v>
      </c>
      <c r="B655" s="53"/>
      <c r="C655" s="53"/>
      <c r="D655" s="32"/>
      <c r="E655" s="35"/>
      <c r="F655" s="32"/>
      <c r="G655" s="37"/>
      <c r="H655" s="32"/>
      <c r="I655" s="38"/>
      <c r="J655" s="52"/>
      <c r="K655" s="52"/>
      <c r="L655" s="52"/>
      <c r="M655" s="52"/>
      <c r="N655" s="53"/>
      <c r="O655" s="28"/>
    </row>
    <row r="656" spans="1:15" s="22" customFormat="1" ht="26.25">
      <c r="A656" s="32">
        <f>SUBTOTAL(103,$B$2:B656)*1</f>
        <v>411</v>
      </c>
      <c r="B656" s="53"/>
      <c r="C656" s="53"/>
      <c r="D656" s="32"/>
      <c r="E656" s="35"/>
      <c r="F656" s="32"/>
      <c r="G656" s="37"/>
      <c r="H656" s="32"/>
      <c r="I656" s="38"/>
      <c r="J656" s="52"/>
      <c r="K656" s="52"/>
      <c r="L656" s="52"/>
      <c r="M656" s="52"/>
      <c r="N656" s="53"/>
      <c r="O656" s="28"/>
    </row>
    <row r="657" spans="1:15" s="22" customFormat="1" ht="26.25">
      <c r="A657" s="32">
        <f>SUBTOTAL(103,$B$2:B657)*1</f>
        <v>411</v>
      </c>
      <c r="B657" s="53"/>
      <c r="C657" s="53"/>
      <c r="D657" s="32"/>
      <c r="E657" s="35"/>
      <c r="F657" s="32"/>
      <c r="G657" s="37"/>
      <c r="H657" s="32"/>
      <c r="I657" s="38"/>
      <c r="J657" s="52"/>
      <c r="K657" s="52"/>
      <c r="L657" s="52"/>
      <c r="M657" s="52"/>
      <c r="N657" s="53"/>
      <c r="O657" s="28"/>
    </row>
    <row r="658" spans="1:15" s="22" customFormat="1" ht="26.25">
      <c r="A658" s="32">
        <f>SUBTOTAL(103,$B$2:B658)*1</f>
        <v>411</v>
      </c>
      <c r="B658" s="53"/>
      <c r="C658" s="53"/>
      <c r="D658" s="32"/>
      <c r="E658" s="35"/>
      <c r="F658" s="32"/>
      <c r="G658" s="37"/>
      <c r="H658" s="32"/>
      <c r="I658" s="38"/>
      <c r="J658" s="52"/>
      <c r="K658" s="52"/>
      <c r="L658" s="52"/>
      <c r="M658" s="52"/>
      <c r="N658" s="53"/>
      <c r="O658" s="28"/>
    </row>
    <row r="659" spans="1:15" s="22" customFormat="1" ht="26.25">
      <c r="A659" s="32">
        <f>SUBTOTAL(103,$B$2:B659)*1</f>
        <v>411</v>
      </c>
      <c r="B659" s="53"/>
      <c r="C659" s="53"/>
      <c r="D659" s="32"/>
      <c r="E659" s="35"/>
      <c r="F659" s="32"/>
      <c r="G659" s="37"/>
      <c r="H659" s="32"/>
      <c r="I659" s="38"/>
      <c r="J659" s="52"/>
      <c r="K659" s="52"/>
      <c r="L659" s="52"/>
      <c r="M659" s="52"/>
      <c r="N659" s="53"/>
      <c r="O659" s="28"/>
    </row>
    <row r="660" spans="1:15" s="22" customFormat="1" ht="45.75" customHeight="1">
      <c r="A660" s="32"/>
      <c r="B660" s="53"/>
      <c r="C660" s="53"/>
      <c r="D660" s="32"/>
      <c r="E660" s="35"/>
      <c r="F660" s="32"/>
      <c r="G660" s="37"/>
      <c r="H660" s="32"/>
      <c r="I660" s="38"/>
      <c r="J660" s="52"/>
      <c r="K660" s="52"/>
      <c r="L660" s="52"/>
      <c r="M660" s="52"/>
      <c r="N660" s="53"/>
      <c r="O660" s="28"/>
    </row>
    <row r="661" spans="1:15" s="22" customFormat="1" ht="45.75" customHeight="1">
      <c r="B661" s="23"/>
      <c r="C661" s="23"/>
      <c r="E661" s="24"/>
      <c r="G661" s="25"/>
      <c r="I661" s="26"/>
      <c r="J661" s="27"/>
      <c r="K661" s="27"/>
      <c r="L661" s="27"/>
      <c r="M661" s="27"/>
      <c r="N661" s="23"/>
      <c r="O661" s="28"/>
    </row>
    <row r="662" spans="1:15" s="22" customFormat="1" ht="45.75" customHeight="1">
      <c r="B662" s="23"/>
      <c r="C662" s="23"/>
      <c r="E662" s="24"/>
      <c r="G662" s="25"/>
      <c r="I662" s="26"/>
      <c r="J662" s="27"/>
      <c r="K662" s="27"/>
      <c r="L662" s="27"/>
      <c r="M662" s="27"/>
      <c r="N662" s="23"/>
      <c r="O662" s="28"/>
    </row>
    <row r="663" spans="1:15" s="22" customFormat="1" ht="45.75" customHeight="1">
      <c r="B663" s="23"/>
      <c r="C663" s="23"/>
      <c r="E663" s="24"/>
      <c r="G663" s="25"/>
      <c r="I663" s="26"/>
      <c r="J663" s="27"/>
      <c r="K663" s="27"/>
      <c r="L663" s="27"/>
      <c r="M663" s="27"/>
      <c r="N663" s="23"/>
      <c r="O663" s="28"/>
    </row>
    <row r="664" spans="1:15" s="22" customFormat="1" ht="45.75" customHeight="1">
      <c r="B664" s="23"/>
      <c r="C664" s="23"/>
      <c r="E664" s="24"/>
      <c r="G664" s="25"/>
      <c r="I664" s="26"/>
      <c r="J664" s="27"/>
      <c r="K664" s="27"/>
      <c r="L664" s="27"/>
      <c r="M664" s="27"/>
      <c r="N664" s="23"/>
      <c r="O664" s="28"/>
    </row>
    <row r="665" spans="1:15" s="22" customFormat="1" ht="45.75" customHeight="1">
      <c r="B665" s="23"/>
      <c r="C665" s="23"/>
      <c r="E665" s="24"/>
      <c r="G665" s="25"/>
      <c r="I665" s="26"/>
      <c r="J665" s="27"/>
      <c r="K665" s="27"/>
      <c r="L665" s="27"/>
      <c r="M665" s="27"/>
      <c r="N665" s="23"/>
      <c r="O665" s="28"/>
    </row>
    <row r="666" spans="1:15" s="22" customFormat="1" ht="45.75" customHeight="1">
      <c r="B666" s="23"/>
      <c r="C666" s="23"/>
      <c r="E666" s="24"/>
      <c r="G666" s="25"/>
      <c r="I666" s="26"/>
      <c r="J666" s="27"/>
      <c r="K666" s="27"/>
      <c r="L666" s="27"/>
      <c r="M666" s="27"/>
      <c r="N666" s="23"/>
      <c r="O666" s="28"/>
    </row>
    <row r="667" spans="1:15" s="22" customFormat="1" ht="45.75" customHeight="1">
      <c r="B667" s="23"/>
      <c r="C667" s="23"/>
      <c r="E667" s="24"/>
      <c r="G667" s="25"/>
      <c r="I667" s="26"/>
      <c r="J667" s="27"/>
      <c r="K667" s="27"/>
      <c r="L667" s="27"/>
      <c r="M667" s="27"/>
      <c r="N667" s="23"/>
      <c r="O667" s="28"/>
    </row>
    <row r="668" spans="1:15" s="22" customFormat="1" ht="45.75" customHeight="1">
      <c r="B668" s="23"/>
      <c r="C668" s="23"/>
      <c r="E668" s="24"/>
      <c r="G668" s="25"/>
      <c r="I668" s="26"/>
      <c r="J668" s="27"/>
      <c r="K668" s="27"/>
      <c r="L668" s="27"/>
      <c r="M668" s="27"/>
      <c r="N668" s="23"/>
      <c r="O668" s="28"/>
    </row>
    <row r="669" spans="1:15" s="22" customFormat="1" ht="45.75" customHeight="1">
      <c r="B669" s="23"/>
      <c r="C669" s="23"/>
      <c r="E669" s="24"/>
      <c r="G669" s="25"/>
      <c r="I669" s="26"/>
      <c r="J669" s="27"/>
      <c r="K669" s="27"/>
      <c r="L669" s="27"/>
      <c r="M669" s="27"/>
      <c r="N669" s="23"/>
      <c r="O669" s="28"/>
    </row>
    <row r="670" spans="1:15" s="22" customFormat="1" ht="45.75" customHeight="1">
      <c r="B670" s="23"/>
      <c r="C670" s="23"/>
      <c r="E670" s="24"/>
      <c r="G670" s="25"/>
      <c r="I670" s="26"/>
      <c r="J670" s="27"/>
      <c r="K670" s="27"/>
      <c r="L670" s="27"/>
      <c r="M670" s="27"/>
      <c r="N670" s="23"/>
      <c r="O670" s="28"/>
    </row>
    <row r="671" spans="1:15" s="22" customFormat="1" ht="45.75" customHeight="1">
      <c r="B671" s="23"/>
      <c r="C671" s="23"/>
      <c r="E671" s="24"/>
      <c r="G671" s="25"/>
      <c r="I671" s="26"/>
      <c r="J671" s="27"/>
      <c r="K671" s="27"/>
      <c r="L671" s="27"/>
      <c r="M671" s="27"/>
      <c r="N671" s="23"/>
      <c r="O671" s="28"/>
    </row>
    <row r="672" spans="1:15" s="22" customFormat="1" ht="45.75" customHeight="1">
      <c r="B672" s="23"/>
      <c r="C672" s="23"/>
      <c r="E672" s="24"/>
      <c r="G672" s="25"/>
      <c r="I672" s="26"/>
      <c r="J672" s="27"/>
      <c r="K672" s="27"/>
      <c r="L672" s="27"/>
      <c r="M672" s="27"/>
      <c r="N672" s="23"/>
      <c r="O672" s="28"/>
    </row>
    <row r="673" spans="2:15" s="22" customFormat="1" ht="45.75" customHeight="1">
      <c r="B673" s="23"/>
      <c r="C673" s="23"/>
      <c r="E673" s="24"/>
      <c r="G673" s="25"/>
      <c r="I673" s="26"/>
      <c r="J673" s="27"/>
      <c r="K673" s="27"/>
      <c r="L673" s="27"/>
      <c r="M673" s="27"/>
      <c r="N673" s="23"/>
      <c r="O673" s="28"/>
    </row>
    <row r="674" spans="2:15" s="22" customFormat="1" ht="45.75" customHeight="1">
      <c r="B674" s="23"/>
      <c r="C674" s="23"/>
      <c r="E674" s="24"/>
      <c r="G674" s="25"/>
      <c r="I674" s="26"/>
      <c r="J674" s="27"/>
      <c r="K674" s="27"/>
      <c r="L674" s="27"/>
      <c r="M674" s="27"/>
      <c r="N674" s="23"/>
      <c r="O674" s="28"/>
    </row>
    <row r="675" spans="2:15" s="22" customFormat="1" ht="45.75" customHeight="1">
      <c r="B675" s="23"/>
      <c r="C675" s="23"/>
      <c r="E675" s="24"/>
      <c r="G675" s="25"/>
      <c r="I675" s="26"/>
      <c r="J675" s="27"/>
      <c r="K675" s="27"/>
      <c r="L675" s="27"/>
      <c r="M675" s="27"/>
      <c r="N675" s="23"/>
      <c r="O675" s="28"/>
    </row>
    <row r="676" spans="2:15" s="22" customFormat="1" ht="45.75" customHeight="1">
      <c r="B676" s="23"/>
      <c r="C676" s="23"/>
      <c r="E676" s="24"/>
      <c r="G676" s="25"/>
      <c r="I676" s="26"/>
      <c r="J676" s="27"/>
      <c r="K676" s="27"/>
      <c r="L676" s="27"/>
      <c r="M676" s="27"/>
      <c r="N676" s="23"/>
      <c r="O676" s="28"/>
    </row>
    <row r="677" spans="2:15" s="22" customFormat="1" ht="45.75" customHeight="1">
      <c r="B677" s="23"/>
      <c r="C677" s="23"/>
      <c r="E677" s="24"/>
      <c r="G677" s="25"/>
      <c r="I677" s="26"/>
      <c r="J677" s="27"/>
      <c r="K677" s="27"/>
      <c r="L677" s="27"/>
      <c r="M677" s="27"/>
      <c r="N677" s="23"/>
      <c r="O677" s="28"/>
    </row>
    <row r="678" spans="2:15" s="22" customFormat="1" ht="45.75" customHeight="1">
      <c r="B678" s="23"/>
      <c r="C678" s="23"/>
      <c r="E678" s="24"/>
      <c r="G678" s="25"/>
      <c r="I678" s="26"/>
      <c r="J678" s="27"/>
      <c r="K678" s="27"/>
      <c r="L678" s="27"/>
      <c r="M678" s="27"/>
      <c r="N678" s="23"/>
      <c r="O678" s="28"/>
    </row>
    <row r="679" spans="2:15" s="22" customFormat="1" ht="45.75" customHeight="1">
      <c r="B679" s="23"/>
      <c r="C679" s="23"/>
      <c r="E679" s="24"/>
      <c r="G679" s="25"/>
      <c r="I679" s="26"/>
      <c r="J679" s="27"/>
      <c r="K679" s="27"/>
      <c r="L679" s="27"/>
      <c r="M679" s="27"/>
      <c r="N679" s="23"/>
      <c r="O679" s="28"/>
    </row>
    <row r="680" spans="2:15" s="22" customFormat="1" ht="45.75" customHeight="1">
      <c r="B680" s="23"/>
      <c r="C680" s="23"/>
      <c r="E680" s="24"/>
      <c r="G680" s="25"/>
      <c r="I680" s="26"/>
      <c r="J680" s="27"/>
      <c r="K680" s="27"/>
      <c r="L680" s="27"/>
      <c r="M680" s="27"/>
      <c r="N680" s="23"/>
      <c r="O680" s="28"/>
    </row>
    <row r="681" spans="2:15" s="22" customFormat="1" ht="45.75" customHeight="1">
      <c r="B681" s="23"/>
      <c r="C681" s="23"/>
      <c r="E681" s="24"/>
      <c r="G681" s="25"/>
      <c r="I681" s="26"/>
      <c r="J681" s="27"/>
      <c r="K681" s="27"/>
      <c r="L681" s="27"/>
      <c r="M681" s="27"/>
      <c r="N681" s="23"/>
      <c r="O681" s="28"/>
    </row>
    <row r="682" spans="2:15" s="22" customFormat="1" ht="45.75" customHeight="1">
      <c r="B682" s="23"/>
      <c r="C682" s="23"/>
      <c r="E682" s="24"/>
      <c r="G682" s="25"/>
      <c r="I682" s="26"/>
      <c r="J682" s="27"/>
      <c r="K682" s="27"/>
      <c r="L682" s="27"/>
      <c r="M682" s="27"/>
      <c r="N682" s="23"/>
      <c r="O682" s="28"/>
    </row>
    <row r="683" spans="2:15" s="22" customFormat="1" ht="45.75" customHeight="1">
      <c r="B683" s="23"/>
      <c r="C683" s="23"/>
      <c r="E683" s="24"/>
      <c r="G683" s="25"/>
      <c r="I683" s="26"/>
      <c r="J683" s="27"/>
      <c r="K683" s="27"/>
      <c r="L683" s="27"/>
      <c r="M683" s="27"/>
      <c r="N683" s="23"/>
      <c r="O683" s="28"/>
    </row>
    <row r="684" spans="2:15" s="22" customFormat="1" ht="45.75" customHeight="1">
      <c r="B684" s="23"/>
      <c r="C684" s="23"/>
      <c r="E684" s="24"/>
      <c r="G684" s="25"/>
      <c r="I684" s="26"/>
      <c r="J684" s="27"/>
      <c r="K684" s="27"/>
      <c r="L684" s="27"/>
      <c r="M684" s="27"/>
      <c r="N684" s="23"/>
      <c r="O684" s="28"/>
    </row>
    <row r="685" spans="2:15" s="22" customFormat="1" ht="45.75" customHeight="1">
      <c r="B685" s="23"/>
      <c r="C685" s="23"/>
      <c r="E685" s="24"/>
      <c r="G685" s="25"/>
      <c r="I685" s="26"/>
      <c r="J685" s="27"/>
      <c r="K685" s="27"/>
      <c r="L685" s="27"/>
      <c r="M685" s="27"/>
      <c r="N685" s="23"/>
      <c r="O685" s="28"/>
    </row>
    <row r="686" spans="2:15" s="22" customFormat="1" ht="45.75" customHeight="1">
      <c r="B686" s="23"/>
      <c r="C686" s="23"/>
      <c r="E686" s="24"/>
      <c r="G686" s="25"/>
      <c r="I686" s="26"/>
      <c r="J686" s="27"/>
      <c r="K686" s="27"/>
      <c r="L686" s="27"/>
      <c r="M686" s="27"/>
      <c r="N686" s="23"/>
      <c r="O686" s="28"/>
    </row>
    <row r="687" spans="2:15" s="22" customFormat="1" ht="45.75" customHeight="1">
      <c r="B687" s="23"/>
      <c r="C687" s="23"/>
      <c r="E687" s="24"/>
      <c r="G687" s="25"/>
      <c r="I687" s="26"/>
      <c r="J687" s="27"/>
      <c r="K687" s="27"/>
      <c r="L687" s="27"/>
      <c r="M687" s="27"/>
      <c r="N687" s="23"/>
      <c r="O687" s="28"/>
    </row>
    <row r="688" spans="2:15" s="22" customFormat="1" ht="45.75" customHeight="1">
      <c r="B688" s="23"/>
      <c r="C688" s="23"/>
      <c r="E688" s="24"/>
      <c r="G688" s="25"/>
      <c r="I688" s="26"/>
      <c r="J688" s="27"/>
      <c r="K688" s="27"/>
      <c r="L688" s="27"/>
      <c r="M688" s="27"/>
      <c r="N688" s="23"/>
      <c r="O688" s="28"/>
    </row>
    <row r="689" spans="2:15" s="22" customFormat="1" ht="45.75" customHeight="1">
      <c r="B689" s="23"/>
      <c r="C689" s="23"/>
      <c r="E689" s="24"/>
      <c r="G689" s="25"/>
      <c r="I689" s="26"/>
      <c r="J689" s="27"/>
      <c r="K689" s="27"/>
      <c r="L689" s="27"/>
      <c r="M689" s="27"/>
      <c r="N689" s="23"/>
      <c r="O689" s="28"/>
    </row>
    <row r="690" spans="2:15" s="22" customFormat="1" ht="45.75" customHeight="1">
      <c r="B690" s="23"/>
      <c r="C690" s="23"/>
      <c r="E690" s="24"/>
      <c r="G690" s="25"/>
      <c r="I690" s="26"/>
      <c r="J690" s="27"/>
      <c r="K690" s="27"/>
      <c r="L690" s="27"/>
      <c r="M690" s="27"/>
      <c r="N690" s="23"/>
      <c r="O690" s="28"/>
    </row>
    <row r="691" spans="2:15" s="22" customFormat="1" ht="45.75" customHeight="1">
      <c r="B691" s="23"/>
      <c r="C691" s="23"/>
      <c r="E691" s="24"/>
      <c r="G691" s="25"/>
      <c r="I691" s="26"/>
      <c r="J691" s="27"/>
      <c r="K691" s="27"/>
      <c r="L691" s="27"/>
      <c r="M691" s="27"/>
      <c r="N691" s="23"/>
      <c r="O691" s="28"/>
    </row>
    <row r="692" spans="2:15" s="22" customFormat="1" ht="45.75" customHeight="1">
      <c r="B692" s="23"/>
      <c r="C692" s="23"/>
      <c r="E692" s="24"/>
      <c r="G692" s="25"/>
      <c r="I692" s="26"/>
      <c r="J692" s="27"/>
      <c r="K692" s="27"/>
      <c r="L692" s="27"/>
      <c r="M692" s="27"/>
      <c r="N692" s="23"/>
      <c r="O692" s="28"/>
    </row>
    <row r="693" spans="2:15" s="22" customFormat="1" ht="45.75" customHeight="1">
      <c r="B693" s="23"/>
      <c r="C693" s="23"/>
      <c r="E693" s="24"/>
      <c r="G693" s="25"/>
      <c r="I693" s="26"/>
      <c r="J693" s="27"/>
      <c r="K693" s="27"/>
      <c r="L693" s="27"/>
      <c r="M693" s="27"/>
      <c r="N693" s="23"/>
      <c r="O693" s="28"/>
    </row>
    <row r="694" spans="2:15" s="22" customFormat="1" ht="45.75" customHeight="1">
      <c r="B694" s="23"/>
      <c r="C694" s="23"/>
      <c r="E694" s="24"/>
      <c r="G694" s="25"/>
      <c r="I694" s="26"/>
      <c r="J694" s="27"/>
      <c r="K694" s="27"/>
      <c r="L694" s="27"/>
      <c r="M694" s="27"/>
      <c r="N694" s="23"/>
      <c r="O694" s="28"/>
    </row>
    <row r="695" spans="2:15" s="22" customFormat="1" ht="45.75" customHeight="1">
      <c r="B695" s="23"/>
      <c r="C695" s="23"/>
      <c r="E695" s="24"/>
      <c r="G695" s="25"/>
      <c r="I695" s="26"/>
      <c r="J695" s="27"/>
      <c r="K695" s="27"/>
      <c r="L695" s="27"/>
      <c r="M695" s="27"/>
      <c r="N695" s="23"/>
      <c r="O695" s="28"/>
    </row>
    <row r="696" spans="2:15" s="22" customFormat="1" ht="45.75" customHeight="1">
      <c r="B696" s="23"/>
      <c r="C696" s="23"/>
      <c r="E696" s="24"/>
      <c r="G696" s="25"/>
      <c r="I696" s="26"/>
      <c r="J696" s="27"/>
      <c r="K696" s="27"/>
      <c r="L696" s="27"/>
      <c r="M696" s="27"/>
      <c r="N696" s="23"/>
      <c r="O696" s="28"/>
    </row>
    <row r="697" spans="2:15" s="22" customFormat="1" ht="45.75" customHeight="1">
      <c r="B697" s="23"/>
      <c r="C697" s="23"/>
      <c r="E697" s="24"/>
      <c r="G697" s="25"/>
      <c r="I697" s="26"/>
      <c r="J697" s="27"/>
      <c r="K697" s="27"/>
      <c r="L697" s="27"/>
      <c r="M697" s="27"/>
      <c r="N697" s="23"/>
      <c r="O697" s="28"/>
    </row>
    <row r="698" spans="2:15" s="22" customFormat="1" ht="45.75" customHeight="1">
      <c r="B698" s="23"/>
      <c r="C698" s="23"/>
      <c r="E698" s="24"/>
      <c r="G698" s="25"/>
      <c r="I698" s="26"/>
      <c r="J698" s="27"/>
      <c r="K698" s="27"/>
      <c r="L698" s="27"/>
      <c r="M698" s="27"/>
      <c r="N698" s="23"/>
      <c r="O698" s="28"/>
    </row>
    <row r="699" spans="2:15" s="22" customFormat="1" ht="45.75" customHeight="1">
      <c r="B699" s="23"/>
      <c r="C699" s="23"/>
      <c r="E699" s="24"/>
      <c r="G699" s="25"/>
      <c r="I699" s="26"/>
      <c r="J699" s="27"/>
      <c r="K699" s="27"/>
      <c r="L699" s="27"/>
      <c r="M699" s="27"/>
      <c r="N699" s="23"/>
      <c r="O699" s="28"/>
    </row>
    <row r="700" spans="2:15" s="22" customFormat="1" ht="45.75" customHeight="1">
      <c r="B700" s="23"/>
      <c r="C700" s="23"/>
      <c r="E700" s="24"/>
      <c r="G700" s="25"/>
      <c r="I700" s="26"/>
      <c r="J700" s="27"/>
      <c r="K700" s="27"/>
      <c r="L700" s="27"/>
      <c r="M700" s="27"/>
      <c r="N700" s="23"/>
      <c r="O700" s="28"/>
    </row>
    <row r="701" spans="2:15" s="22" customFormat="1" ht="45.75" customHeight="1">
      <c r="B701" s="23"/>
      <c r="C701" s="23"/>
      <c r="E701" s="24"/>
      <c r="G701" s="25"/>
      <c r="I701" s="26"/>
      <c r="J701" s="27"/>
      <c r="K701" s="27"/>
      <c r="L701" s="27"/>
      <c r="M701" s="27"/>
      <c r="N701" s="23"/>
      <c r="O701" s="28"/>
    </row>
    <row r="702" spans="2:15" s="22" customFormat="1" ht="45.75" customHeight="1">
      <c r="B702" s="23"/>
      <c r="C702" s="23"/>
      <c r="E702" s="24"/>
      <c r="G702" s="25"/>
      <c r="I702" s="26"/>
      <c r="J702" s="27"/>
      <c r="K702" s="27"/>
      <c r="L702" s="27"/>
      <c r="M702" s="27"/>
      <c r="N702" s="23"/>
      <c r="O702" s="28"/>
    </row>
    <row r="703" spans="2:15" s="22" customFormat="1" ht="45.75" customHeight="1">
      <c r="B703" s="23"/>
      <c r="C703" s="23"/>
      <c r="E703" s="24"/>
      <c r="G703" s="25"/>
      <c r="I703" s="26"/>
      <c r="J703" s="27"/>
      <c r="K703" s="27"/>
      <c r="L703" s="27"/>
      <c r="M703" s="27"/>
      <c r="N703" s="23"/>
      <c r="O703" s="28"/>
    </row>
    <row r="704" spans="2:15" s="22" customFormat="1" ht="45.75" customHeight="1">
      <c r="B704" s="23"/>
      <c r="C704" s="23"/>
      <c r="E704" s="24"/>
      <c r="G704" s="25"/>
      <c r="I704" s="26"/>
      <c r="J704" s="27"/>
      <c r="K704" s="27"/>
      <c r="L704" s="27"/>
      <c r="M704" s="27"/>
      <c r="N704" s="23"/>
      <c r="O704" s="28"/>
    </row>
    <row r="705" spans="2:15" s="22" customFormat="1" ht="45.75" customHeight="1">
      <c r="B705" s="23"/>
      <c r="C705" s="23"/>
      <c r="E705" s="24"/>
      <c r="G705" s="25"/>
      <c r="I705" s="26"/>
      <c r="J705" s="27"/>
      <c r="K705" s="27"/>
      <c r="L705" s="27"/>
      <c r="M705" s="27"/>
      <c r="N705" s="23"/>
      <c r="O705" s="28"/>
    </row>
    <row r="706" spans="2:15" s="22" customFormat="1" ht="45.75" customHeight="1">
      <c r="B706" s="23"/>
      <c r="C706" s="23"/>
      <c r="E706" s="24"/>
      <c r="G706" s="25"/>
      <c r="I706" s="26"/>
      <c r="J706" s="27"/>
      <c r="K706" s="27"/>
      <c r="L706" s="27"/>
      <c r="M706" s="27"/>
      <c r="N706" s="23"/>
      <c r="O706" s="28"/>
    </row>
    <row r="707" spans="2:15" s="22" customFormat="1" ht="45.75" customHeight="1">
      <c r="B707" s="23"/>
      <c r="C707" s="23"/>
      <c r="E707" s="24"/>
      <c r="G707" s="25"/>
      <c r="I707" s="26"/>
      <c r="J707" s="27"/>
      <c r="K707" s="27"/>
      <c r="L707" s="27"/>
      <c r="M707" s="27"/>
      <c r="N707" s="23"/>
      <c r="O707" s="28"/>
    </row>
    <row r="708" spans="2:15" s="22" customFormat="1" ht="45.75" customHeight="1">
      <c r="B708" s="23"/>
      <c r="C708" s="23"/>
      <c r="E708" s="24"/>
      <c r="G708" s="25"/>
      <c r="I708" s="26"/>
      <c r="J708" s="27"/>
      <c r="K708" s="27"/>
      <c r="L708" s="27"/>
      <c r="M708" s="27"/>
      <c r="N708" s="23"/>
      <c r="O708" s="28"/>
    </row>
    <row r="709" spans="2:15" s="22" customFormat="1" ht="45.75" customHeight="1">
      <c r="B709" s="23"/>
      <c r="C709" s="23"/>
      <c r="E709" s="24"/>
      <c r="G709" s="25"/>
      <c r="I709" s="26"/>
      <c r="J709" s="27"/>
      <c r="K709" s="27"/>
      <c r="L709" s="27"/>
      <c r="M709" s="27"/>
      <c r="N709" s="23"/>
      <c r="O709" s="28"/>
    </row>
    <row r="710" spans="2:15" s="22" customFormat="1" ht="45.75" customHeight="1">
      <c r="B710" s="23"/>
      <c r="C710" s="23"/>
      <c r="E710" s="24"/>
      <c r="G710" s="25"/>
      <c r="I710" s="26"/>
      <c r="J710" s="27"/>
      <c r="K710" s="27"/>
      <c r="L710" s="27"/>
      <c r="M710" s="27"/>
      <c r="N710" s="23"/>
      <c r="O710" s="28"/>
    </row>
    <row r="711" spans="2:15" s="22" customFormat="1" ht="45.75" customHeight="1">
      <c r="B711" s="23"/>
      <c r="C711" s="23"/>
      <c r="E711" s="24"/>
      <c r="G711" s="25"/>
      <c r="I711" s="26"/>
      <c r="J711" s="27"/>
      <c r="K711" s="27"/>
      <c r="L711" s="27"/>
      <c r="M711" s="27"/>
      <c r="N711" s="23"/>
      <c r="O711" s="28"/>
    </row>
    <row r="712" spans="2:15" s="22" customFormat="1" ht="45.75" customHeight="1">
      <c r="B712" s="23"/>
      <c r="C712" s="23"/>
      <c r="E712" s="24"/>
      <c r="G712" s="25"/>
      <c r="I712" s="26"/>
      <c r="J712" s="27"/>
      <c r="K712" s="27"/>
      <c r="L712" s="27"/>
      <c r="M712" s="27"/>
      <c r="N712" s="23"/>
      <c r="O712" s="28"/>
    </row>
    <row r="713" spans="2:15" s="22" customFormat="1" ht="45.75" customHeight="1">
      <c r="B713" s="23"/>
      <c r="C713" s="23"/>
      <c r="E713" s="24"/>
      <c r="G713" s="25"/>
      <c r="I713" s="26"/>
      <c r="J713" s="27"/>
      <c r="K713" s="27"/>
      <c r="L713" s="27"/>
      <c r="M713" s="27"/>
      <c r="N713" s="23"/>
      <c r="O713" s="28"/>
    </row>
    <row r="714" spans="2:15" s="22" customFormat="1" ht="45.75" customHeight="1">
      <c r="B714" s="23"/>
      <c r="C714" s="23"/>
      <c r="E714" s="24"/>
      <c r="G714" s="25"/>
      <c r="I714" s="26"/>
      <c r="J714" s="27"/>
      <c r="K714" s="27"/>
      <c r="L714" s="27"/>
      <c r="M714" s="27"/>
      <c r="N714" s="23"/>
      <c r="O714" s="28"/>
    </row>
    <row r="715" spans="2:15" s="22" customFormat="1" ht="45.75" customHeight="1">
      <c r="B715" s="23"/>
      <c r="C715" s="23"/>
      <c r="E715" s="24"/>
      <c r="G715" s="25"/>
      <c r="I715" s="26"/>
      <c r="J715" s="27"/>
      <c r="K715" s="27"/>
      <c r="L715" s="27"/>
      <c r="M715" s="27"/>
      <c r="N715" s="23"/>
      <c r="O715" s="28"/>
    </row>
    <row r="716" spans="2:15" s="22" customFormat="1" ht="45.75" customHeight="1">
      <c r="B716" s="23"/>
      <c r="C716" s="23"/>
      <c r="E716" s="24"/>
      <c r="G716" s="25"/>
      <c r="I716" s="26"/>
      <c r="J716" s="27"/>
      <c r="K716" s="27"/>
      <c r="L716" s="27"/>
      <c r="M716" s="27"/>
      <c r="N716" s="23"/>
      <c r="O716" s="28"/>
    </row>
    <row r="717" spans="2:15" s="22" customFormat="1" ht="45.75" customHeight="1">
      <c r="B717" s="23"/>
      <c r="C717" s="23"/>
      <c r="E717" s="24"/>
      <c r="G717" s="25"/>
      <c r="I717" s="26"/>
      <c r="J717" s="27"/>
      <c r="K717" s="27"/>
      <c r="L717" s="27"/>
      <c r="M717" s="27"/>
      <c r="N717" s="23"/>
      <c r="O717" s="28"/>
    </row>
    <row r="718" spans="2:15" s="22" customFormat="1" ht="45.75" customHeight="1">
      <c r="B718" s="23"/>
      <c r="C718" s="23"/>
      <c r="E718" s="24"/>
      <c r="G718" s="25"/>
      <c r="I718" s="26"/>
      <c r="J718" s="27"/>
      <c r="K718" s="27"/>
      <c r="L718" s="27"/>
      <c r="M718" s="27"/>
      <c r="N718" s="23"/>
      <c r="O718" s="28"/>
    </row>
    <row r="719" spans="2:15" s="22" customFormat="1" ht="45.75" customHeight="1">
      <c r="B719" s="23"/>
      <c r="C719" s="23"/>
      <c r="E719" s="24"/>
      <c r="G719" s="25"/>
      <c r="I719" s="26"/>
      <c r="J719" s="27"/>
      <c r="K719" s="27"/>
      <c r="L719" s="27"/>
      <c r="M719" s="27"/>
      <c r="N719" s="23"/>
      <c r="O719" s="28"/>
    </row>
    <row r="720" spans="2:15" s="22" customFormat="1" ht="45.75" customHeight="1">
      <c r="B720" s="23"/>
      <c r="C720" s="23"/>
      <c r="E720" s="24"/>
      <c r="G720" s="25"/>
      <c r="I720" s="26"/>
      <c r="J720" s="27"/>
      <c r="K720" s="27"/>
      <c r="L720" s="27"/>
      <c r="M720" s="27"/>
      <c r="N720" s="23"/>
      <c r="O720" s="28"/>
    </row>
    <row r="721" spans="2:15" s="22" customFormat="1" ht="45.75" customHeight="1">
      <c r="B721" s="23"/>
      <c r="C721" s="23"/>
      <c r="E721" s="24"/>
      <c r="G721" s="25"/>
      <c r="I721" s="26"/>
      <c r="J721" s="27"/>
      <c r="K721" s="27"/>
      <c r="L721" s="27"/>
      <c r="M721" s="27"/>
      <c r="N721" s="23"/>
      <c r="O721" s="28"/>
    </row>
    <row r="722" spans="2:15" s="22" customFormat="1" ht="45.75" customHeight="1">
      <c r="B722" s="23"/>
      <c r="C722" s="23"/>
      <c r="E722" s="24"/>
      <c r="G722" s="25"/>
      <c r="I722" s="26"/>
      <c r="J722" s="27"/>
      <c r="K722" s="27"/>
      <c r="L722" s="27"/>
      <c r="M722" s="27"/>
      <c r="N722" s="23"/>
      <c r="O722" s="28"/>
    </row>
    <row r="723" spans="2:15" s="22" customFormat="1" ht="45.75" customHeight="1">
      <c r="B723" s="23"/>
      <c r="C723" s="23"/>
      <c r="E723" s="24"/>
      <c r="G723" s="25"/>
      <c r="I723" s="26"/>
      <c r="J723" s="27"/>
      <c r="K723" s="27"/>
      <c r="L723" s="27"/>
      <c r="M723" s="27"/>
      <c r="N723" s="23"/>
      <c r="O723" s="28"/>
    </row>
    <row r="724" spans="2:15" s="22" customFormat="1" ht="45.75" customHeight="1">
      <c r="B724" s="23"/>
      <c r="C724" s="23"/>
      <c r="E724" s="24"/>
      <c r="G724" s="25"/>
      <c r="I724" s="26"/>
      <c r="J724" s="27"/>
      <c r="K724" s="27"/>
      <c r="L724" s="27"/>
      <c r="M724" s="27"/>
      <c r="N724" s="23"/>
      <c r="O724" s="28"/>
    </row>
    <row r="725" spans="2:15" s="22" customFormat="1" ht="45.75" customHeight="1">
      <c r="B725" s="23"/>
      <c r="C725" s="23"/>
      <c r="E725" s="24"/>
      <c r="G725" s="25"/>
      <c r="I725" s="26"/>
      <c r="J725" s="27"/>
      <c r="K725" s="27"/>
      <c r="L725" s="27"/>
      <c r="M725" s="27"/>
      <c r="N725" s="23"/>
      <c r="O725" s="28"/>
    </row>
    <row r="726" spans="2:15" s="22" customFormat="1" ht="45.75" customHeight="1">
      <c r="B726" s="23"/>
      <c r="C726" s="23"/>
      <c r="E726" s="24"/>
      <c r="G726" s="25"/>
      <c r="I726" s="26"/>
      <c r="J726" s="27"/>
      <c r="K726" s="27"/>
      <c r="L726" s="27"/>
      <c r="M726" s="27"/>
      <c r="N726" s="23"/>
      <c r="O726" s="28"/>
    </row>
    <row r="727" spans="2:15" s="22" customFormat="1" ht="45.75" customHeight="1">
      <c r="B727" s="23"/>
      <c r="C727" s="23"/>
      <c r="E727" s="24"/>
      <c r="G727" s="25"/>
      <c r="I727" s="26"/>
      <c r="J727" s="27"/>
      <c r="K727" s="27"/>
      <c r="L727" s="27"/>
      <c r="M727" s="27"/>
      <c r="N727" s="23"/>
      <c r="O727" s="28"/>
    </row>
    <row r="728" spans="2:15" s="22" customFormat="1" ht="45.75" customHeight="1">
      <c r="B728" s="23"/>
      <c r="C728" s="23"/>
      <c r="E728" s="24"/>
      <c r="G728" s="25"/>
      <c r="I728" s="26"/>
      <c r="J728" s="27"/>
      <c r="K728" s="27"/>
      <c r="L728" s="27"/>
      <c r="M728" s="27"/>
      <c r="N728" s="23"/>
      <c r="O728" s="28"/>
    </row>
    <row r="729" spans="2:15" s="22" customFormat="1" ht="45.75" customHeight="1">
      <c r="B729" s="23"/>
      <c r="C729" s="23"/>
      <c r="E729" s="24"/>
      <c r="G729" s="25"/>
      <c r="I729" s="26"/>
      <c r="J729" s="27"/>
      <c r="K729" s="27"/>
      <c r="L729" s="27"/>
      <c r="M729" s="27"/>
      <c r="N729" s="23"/>
      <c r="O729" s="28"/>
    </row>
    <row r="730" spans="2:15" s="22" customFormat="1" ht="45.75" customHeight="1">
      <c r="B730" s="23"/>
      <c r="C730" s="23"/>
      <c r="E730" s="24"/>
      <c r="G730" s="25"/>
      <c r="I730" s="26"/>
      <c r="J730" s="27"/>
      <c r="K730" s="27"/>
      <c r="L730" s="27"/>
      <c r="M730" s="27"/>
      <c r="N730" s="23"/>
      <c r="O730" s="28"/>
    </row>
    <row r="731" spans="2:15" s="22" customFormat="1" ht="45.75" customHeight="1">
      <c r="B731" s="23"/>
      <c r="C731" s="23"/>
      <c r="E731" s="24"/>
      <c r="G731" s="25"/>
      <c r="I731" s="26"/>
      <c r="J731" s="27"/>
      <c r="K731" s="27"/>
      <c r="L731" s="27"/>
      <c r="M731" s="27"/>
      <c r="N731" s="23"/>
      <c r="O731" s="28"/>
    </row>
    <row r="732" spans="2:15" s="22" customFormat="1" ht="45.75" customHeight="1">
      <c r="B732" s="23"/>
      <c r="C732" s="23"/>
      <c r="E732" s="24"/>
      <c r="G732" s="25"/>
      <c r="I732" s="26"/>
      <c r="J732" s="27"/>
      <c r="K732" s="27"/>
      <c r="L732" s="27"/>
      <c r="M732" s="27"/>
      <c r="N732" s="23"/>
      <c r="O732" s="28"/>
    </row>
    <row r="733" spans="2:15" s="22" customFormat="1" ht="45.75" customHeight="1">
      <c r="B733" s="23"/>
      <c r="C733" s="23"/>
      <c r="E733" s="24"/>
      <c r="G733" s="25"/>
      <c r="I733" s="26"/>
      <c r="J733" s="27"/>
      <c r="K733" s="27"/>
      <c r="L733" s="27"/>
      <c r="M733" s="27"/>
      <c r="N733" s="23"/>
      <c r="O733" s="28"/>
    </row>
    <row r="734" spans="2:15" s="22" customFormat="1" ht="45.75" customHeight="1">
      <c r="B734" s="23"/>
      <c r="C734" s="23"/>
      <c r="E734" s="24"/>
      <c r="G734" s="25"/>
      <c r="I734" s="26"/>
      <c r="J734" s="27"/>
      <c r="K734" s="27"/>
      <c r="L734" s="27"/>
      <c r="M734" s="27"/>
      <c r="N734" s="23"/>
      <c r="O734" s="28"/>
    </row>
    <row r="735" spans="2:15" s="22" customFormat="1" ht="45.75" customHeight="1">
      <c r="B735" s="23"/>
      <c r="C735" s="23"/>
      <c r="E735" s="24"/>
      <c r="G735" s="25"/>
      <c r="I735" s="26"/>
      <c r="J735" s="27"/>
      <c r="K735" s="27"/>
      <c r="L735" s="27"/>
      <c r="M735" s="27"/>
      <c r="N735" s="23"/>
      <c r="O735" s="28"/>
    </row>
    <row r="736" spans="2:15" s="22" customFormat="1" ht="45.75" customHeight="1">
      <c r="B736" s="23"/>
      <c r="C736" s="23"/>
      <c r="E736" s="24"/>
      <c r="G736" s="25"/>
      <c r="I736" s="26"/>
      <c r="J736" s="27"/>
      <c r="K736" s="27"/>
      <c r="L736" s="27"/>
      <c r="M736" s="27"/>
      <c r="N736" s="23"/>
      <c r="O736" s="28"/>
    </row>
    <row r="737" spans="2:15" s="22" customFormat="1" ht="45.75" customHeight="1">
      <c r="B737" s="23"/>
      <c r="C737" s="23"/>
      <c r="E737" s="24"/>
      <c r="G737" s="25"/>
      <c r="I737" s="26"/>
      <c r="J737" s="27"/>
      <c r="K737" s="27"/>
      <c r="L737" s="27"/>
      <c r="M737" s="27"/>
      <c r="N737" s="23"/>
      <c r="O737" s="28"/>
    </row>
    <row r="738" spans="2:15" s="22" customFormat="1" ht="45.75" customHeight="1">
      <c r="B738" s="23"/>
      <c r="C738" s="23"/>
      <c r="E738" s="24"/>
      <c r="G738" s="25"/>
      <c r="I738" s="26"/>
      <c r="J738" s="27"/>
      <c r="K738" s="27"/>
      <c r="L738" s="27"/>
      <c r="M738" s="27"/>
      <c r="N738" s="23"/>
      <c r="O738" s="28"/>
    </row>
    <row r="739" spans="2:15" s="22" customFormat="1" ht="45.75" customHeight="1">
      <c r="B739" s="23"/>
      <c r="C739" s="23"/>
      <c r="E739" s="24"/>
      <c r="G739" s="25"/>
      <c r="I739" s="26"/>
      <c r="J739" s="27"/>
      <c r="K739" s="27"/>
      <c r="L739" s="27"/>
      <c r="M739" s="27"/>
      <c r="N739" s="23"/>
      <c r="O739" s="28"/>
    </row>
    <row r="740" spans="2:15" s="22" customFormat="1" ht="45.75" customHeight="1">
      <c r="B740" s="23"/>
      <c r="C740" s="23"/>
      <c r="E740" s="24"/>
      <c r="G740" s="25"/>
      <c r="I740" s="26"/>
      <c r="J740" s="27"/>
      <c r="K740" s="27"/>
      <c r="L740" s="27"/>
      <c r="M740" s="27"/>
      <c r="N740" s="23"/>
      <c r="O740" s="28"/>
    </row>
    <row r="741" spans="2:15" s="22" customFormat="1" ht="45.75" customHeight="1">
      <c r="B741" s="23"/>
      <c r="C741" s="23"/>
      <c r="E741" s="24"/>
      <c r="G741" s="25"/>
      <c r="I741" s="26"/>
      <c r="J741" s="27"/>
      <c r="K741" s="27"/>
      <c r="L741" s="27"/>
      <c r="M741" s="27"/>
      <c r="N741" s="23"/>
      <c r="O741" s="28"/>
    </row>
    <row r="742" spans="2:15" s="22" customFormat="1" ht="45.75" customHeight="1">
      <c r="B742" s="23"/>
      <c r="C742" s="23"/>
      <c r="E742" s="24"/>
      <c r="G742" s="25"/>
      <c r="I742" s="26"/>
      <c r="J742" s="27"/>
      <c r="K742" s="27"/>
      <c r="L742" s="27"/>
      <c r="M742" s="27"/>
      <c r="N742" s="23"/>
      <c r="O742" s="28"/>
    </row>
    <row r="743" spans="2:15" s="22" customFormat="1" ht="45.75" customHeight="1">
      <c r="B743" s="23"/>
      <c r="C743" s="23"/>
      <c r="E743" s="24"/>
      <c r="G743" s="25"/>
      <c r="I743" s="26"/>
      <c r="J743" s="27"/>
      <c r="K743" s="27"/>
      <c r="L743" s="27"/>
      <c r="M743" s="27"/>
      <c r="N743" s="23"/>
      <c r="O743" s="28"/>
    </row>
    <row r="744" spans="2:15" s="22" customFormat="1" ht="45.75" customHeight="1">
      <c r="B744" s="23"/>
      <c r="C744" s="23"/>
      <c r="E744" s="24"/>
      <c r="G744" s="25"/>
      <c r="I744" s="26"/>
      <c r="J744" s="27"/>
      <c r="K744" s="27"/>
      <c r="L744" s="27"/>
      <c r="M744" s="27"/>
      <c r="N744" s="23"/>
      <c r="O744" s="28"/>
    </row>
    <row r="745" spans="2:15" s="22" customFormat="1" ht="45.75" customHeight="1">
      <c r="B745" s="23"/>
      <c r="C745" s="23"/>
      <c r="E745" s="24"/>
      <c r="G745" s="25"/>
      <c r="I745" s="26"/>
      <c r="J745" s="27"/>
      <c r="K745" s="27"/>
      <c r="L745" s="27"/>
      <c r="M745" s="27"/>
      <c r="N745" s="23"/>
      <c r="O745" s="28"/>
    </row>
    <row r="746" spans="2:15" s="22" customFormat="1" ht="45.75" customHeight="1">
      <c r="B746" s="23"/>
      <c r="C746" s="23"/>
      <c r="E746" s="24"/>
      <c r="G746" s="25"/>
      <c r="I746" s="26"/>
      <c r="J746" s="27"/>
      <c r="K746" s="27"/>
      <c r="L746" s="27"/>
      <c r="M746" s="27"/>
      <c r="N746" s="23"/>
      <c r="O746" s="28"/>
    </row>
    <row r="747" spans="2:15" s="22" customFormat="1" ht="45.75" customHeight="1">
      <c r="B747" s="23"/>
      <c r="C747" s="23"/>
      <c r="E747" s="24"/>
      <c r="G747" s="25"/>
      <c r="I747" s="26"/>
      <c r="J747" s="27"/>
      <c r="K747" s="27"/>
      <c r="L747" s="27"/>
      <c r="M747" s="27"/>
      <c r="N747" s="23"/>
      <c r="O747" s="28"/>
    </row>
    <row r="748" spans="2:15" s="22" customFormat="1" ht="45.75" customHeight="1">
      <c r="B748" s="23"/>
      <c r="C748" s="23"/>
      <c r="E748" s="24"/>
      <c r="G748" s="25"/>
      <c r="I748" s="26"/>
      <c r="J748" s="27"/>
      <c r="K748" s="27"/>
      <c r="L748" s="27"/>
      <c r="M748" s="27"/>
      <c r="N748" s="23"/>
      <c r="O748" s="28"/>
    </row>
    <row r="749" spans="2:15" s="22" customFormat="1" ht="45.75" customHeight="1">
      <c r="B749" s="23"/>
      <c r="C749" s="23"/>
      <c r="E749" s="24"/>
      <c r="G749" s="25"/>
      <c r="I749" s="26"/>
      <c r="J749" s="27"/>
      <c r="K749" s="27"/>
      <c r="L749" s="27"/>
      <c r="M749" s="27"/>
      <c r="N749" s="23"/>
      <c r="O749" s="28"/>
    </row>
    <row r="750" spans="2:15" s="22" customFormat="1" ht="45.75" customHeight="1">
      <c r="B750" s="23"/>
      <c r="C750" s="23"/>
      <c r="E750" s="24"/>
      <c r="G750" s="25"/>
      <c r="I750" s="26"/>
      <c r="J750" s="27"/>
      <c r="K750" s="27"/>
      <c r="L750" s="27"/>
      <c r="M750" s="27"/>
      <c r="N750" s="23"/>
      <c r="O750" s="28"/>
    </row>
    <row r="751" spans="2:15" s="22" customFormat="1" ht="45.75" customHeight="1">
      <c r="B751" s="23"/>
      <c r="C751" s="23"/>
      <c r="E751" s="24"/>
      <c r="G751" s="25"/>
      <c r="I751" s="26"/>
      <c r="J751" s="27"/>
      <c r="K751" s="27"/>
      <c r="L751" s="27"/>
      <c r="M751" s="27"/>
      <c r="N751" s="23"/>
      <c r="O751" s="28"/>
    </row>
    <row r="752" spans="2:15" s="22" customFormat="1" ht="45.75" customHeight="1">
      <c r="B752" s="23"/>
      <c r="C752" s="23"/>
      <c r="E752" s="24"/>
      <c r="G752" s="25"/>
      <c r="I752" s="26"/>
      <c r="J752" s="27"/>
      <c r="K752" s="27"/>
      <c r="L752" s="27"/>
      <c r="M752" s="27"/>
      <c r="N752" s="23"/>
      <c r="O752" s="28"/>
    </row>
    <row r="753" spans="2:15" s="22" customFormat="1" ht="45.75" customHeight="1">
      <c r="B753" s="23"/>
      <c r="C753" s="23"/>
      <c r="E753" s="24"/>
      <c r="G753" s="25"/>
      <c r="I753" s="26"/>
      <c r="J753" s="27"/>
      <c r="K753" s="27"/>
      <c r="L753" s="27"/>
      <c r="M753" s="27"/>
      <c r="N753" s="23"/>
      <c r="O753" s="28"/>
    </row>
    <row r="754" spans="2:15" s="22" customFormat="1" ht="45.75" customHeight="1">
      <c r="B754" s="23"/>
      <c r="C754" s="23"/>
      <c r="E754" s="24"/>
      <c r="G754" s="25"/>
      <c r="I754" s="26"/>
      <c r="J754" s="27"/>
      <c r="K754" s="27"/>
      <c r="L754" s="27"/>
      <c r="M754" s="27"/>
      <c r="N754" s="23"/>
      <c r="O754" s="28"/>
    </row>
    <row r="755" spans="2:15" s="22" customFormat="1" ht="45.75" customHeight="1">
      <c r="B755" s="23"/>
      <c r="C755" s="23"/>
      <c r="E755" s="24"/>
      <c r="G755" s="25"/>
      <c r="I755" s="26"/>
      <c r="J755" s="27"/>
      <c r="K755" s="27"/>
      <c r="L755" s="27"/>
      <c r="M755" s="27"/>
      <c r="N755" s="23"/>
      <c r="O755" s="28"/>
    </row>
    <row r="756" spans="2:15" s="22" customFormat="1" ht="45.75" customHeight="1">
      <c r="B756" s="23"/>
      <c r="C756" s="23"/>
      <c r="E756" s="24"/>
      <c r="G756" s="25"/>
      <c r="I756" s="26"/>
      <c r="J756" s="27"/>
      <c r="K756" s="27"/>
      <c r="L756" s="27"/>
      <c r="M756" s="27"/>
      <c r="N756" s="23"/>
      <c r="O756" s="28"/>
    </row>
    <row r="757" spans="2:15" s="22" customFormat="1" ht="45.75" customHeight="1">
      <c r="B757" s="23"/>
      <c r="C757" s="23"/>
      <c r="E757" s="24"/>
      <c r="G757" s="25"/>
      <c r="I757" s="26"/>
      <c r="J757" s="27"/>
      <c r="K757" s="27"/>
      <c r="L757" s="27"/>
      <c r="M757" s="27"/>
      <c r="N757" s="23"/>
      <c r="O757" s="28"/>
    </row>
    <row r="758" spans="2:15" s="22" customFormat="1" ht="45.75" customHeight="1">
      <c r="B758" s="23"/>
      <c r="C758" s="23"/>
      <c r="E758" s="24"/>
      <c r="G758" s="25"/>
      <c r="I758" s="26"/>
      <c r="J758" s="27"/>
      <c r="K758" s="27"/>
      <c r="L758" s="27"/>
      <c r="M758" s="27"/>
      <c r="N758" s="23"/>
      <c r="O758" s="28"/>
    </row>
    <row r="759" spans="2:15" s="22" customFormat="1" ht="45.75" customHeight="1">
      <c r="B759" s="23"/>
      <c r="C759" s="23"/>
      <c r="E759" s="24"/>
      <c r="G759" s="25"/>
      <c r="I759" s="26"/>
      <c r="J759" s="27"/>
      <c r="K759" s="27"/>
      <c r="L759" s="27"/>
      <c r="M759" s="27"/>
      <c r="N759" s="23"/>
      <c r="O759" s="28"/>
    </row>
    <row r="760" spans="2:15" s="22" customFormat="1" ht="45.75" customHeight="1">
      <c r="B760" s="23"/>
      <c r="C760" s="23"/>
      <c r="E760" s="24"/>
      <c r="G760" s="25"/>
      <c r="I760" s="26"/>
      <c r="J760" s="27"/>
      <c r="K760" s="27"/>
      <c r="L760" s="27"/>
      <c r="M760" s="27"/>
      <c r="N760" s="23"/>
      <c r="O760" s="28"/>
    </row>
    <row r="761" spans="2:15" s="22" customFormat="1" ht="45.75" customHeight="1">
      <c r="B761" s="23"/>
      <c r="C761" s="23"/>
      <c r="E761" s="24"/>
      <c r="G761" s="25"/>
      <c r="I761" s="26"/>
      <c r="J761" s="27"/>
      <c r="K761" s="27"/>
      <c r="L761" s="27"/>
      <c r="M761" s="27"/>
      <c r="N761" s="23"/>
      <c r="O761" s="28"/>
    </row>
    <row r="762" spans="2:15" s="22" customFormat="1" ht="45.75" customHeight="1">
      <c r="B762" s="23"/>
      <c r="C762" s="23"/>
      <c r="E762" s="24"/>
      <c r="G762" s="25"/>
      <c r="I762" s="26"/>
      <c r="J762" s="27"/>
      <c r="K762" s="27"/>
      <c r="L762" s="27"/>
      <c r="M762" s="27"/>
      <c r="N762" s="23"/>
      <c r="O762" s="28"/>
    </row>
    <row r="763" spans="2:15" s="22" customFormat="1" ht="45.75" customHeight="1">
      <c r="B763" s="23"/>
      <c r="C763" s="23"/>
      <c r="E763" s="24"/>
      <c r="G763" s="25"/>
      <c r="I763" s="26"/>
      <c r="J763" s="27"/>
      <c r="K763" s="27"/>
      <c r="L763" s="27"/>
      <c r="M763" s="27"/>
      <c r="N763" s="23"/>
      <c r="O763" s="28"/>
    </row>
    <row r="764" spans="2:15" s="22" customFormat="1" ht="45.75" customHeight="1">
      <c r="B764" s="23"/>
      <c r="C764" s="23"/>
      <c r="E764" s="24"/>
      <c r="G764" s="25"/>
      <c r="I764" s="26"/>
      <c r="J764" s="27"/>
      <c r="K764" s="27"/>
      <c r="L764" s="27"/>
      <c r="M764" s="27"/>
      <c r="N764" s="23"/>
      <c r="O764" s="28"/>
    </row>
    <row r="765" spans="2:15" s="22" customFormat="1" ht="45.75" customHeight="1">
      <c r="B765" s="23"/>
      <c r="C765" s="23"/>
      <c r="E765" s="24"/>
      <c r="G765" s="25"/>
      <c r="I765" s="26"/>
      <c r="J765" s="27"/>
      <c r="K765" s="27"/>
      <c r="L765" s="27"/>
      <c r="M765" s="27"/>
      <c r="N765" s="23"/>
      <c r="O765" s="28"/>
    </row>
    <row r="766" spans="2:15" s="22" customFormat="1" ht="45.75" customHeight="1">
      <c r="B766" s="23"/>
      <c r="C766" s="23"/>
      <c r="E766" s="24"/>
      <c r="G766" s="25"/>
      <c r="I766" s="26"/>
      <c r="J766" s="27"/>
      <c r="K766" s="27"/>
      <c r="L766" s="27"/>
      <c r="M766" s="27"/>
      <c r="N766" s="23"/>
      <c r="O766" s="28"/>
    </row>
    <row r="767" spans="2:15" s="22" customFormat="1" ht="45.75" customHeight="1">
      <c r="B767" s="23"/>
      <c r="C767" s="23"/>
      <c r="E767" s="24"/>
      <c r="G767" s="25"/>
      <c r="I767" s="26"/>
      <c r="J767" s="27"/>
      <c r="K767" s="27"/>
      <c r="L767" s="27"/>
      <c r="M767" s="27"/>
      <c r="N767" s="23"/>
      <c r="O767" s="28"/>
    </row>
    <row r="768" spans="2:15" s="22" customFormat="1" ht="45.75" customHeight="1">
      <c r="B768" s="23"/>
      <c r="C768" s="23"/>
      <c r="E768" s="24"/>
      <c r="G768" s="25"/>
      <c r="I768" s="26"/>
      <c r="J768" s="27"/>
      <c r="K768" s="27"/>
      <c r="L768" s="27"/>
      <c r="M768" s="27"/>
      <c r="N768" s="23"/>
      <c r="O768" s="28"/>
    </row>
    <row r="769" spans="2:15" s="22" customFormat="1" ht="45.75" customHeight="1">
      <c r="B769" s="23"/>
      <c r="C769" s="23"/>
      <c r="E769" s="24"/>
      <c r="G769" s="25"/>
      <c r="I769" s="26"/>
      <c r="J769" s="27"/>
      <c r="K769" s="27"/>
      <c r="L769" s="27"/>
      <c r="M769" s="27"/>
      <c r="N769" s="23"/>
      <c r="O769" s="28"/>
    </row>
    <row r="770" spans="2:15" s="22" customFormat="1" ht="45.75" customHeight="1">
      <c r="B770" s="23"/>
      <c r="C770" s="23"/>
      <c r="E770" s="24"/>
      <c r="G770" s="25"/>
      <c r="I770" s="26"/>
      <c r="J770" s="27"/>
      <c r="K770" s="27"/>
      <c r="L770" s="27"/>
      <c r="M770" s="27"/>
      <c r="N770" s="23"/>
      <c r="O770" s="28"/>
    </row>
    <row r="771" spans="2:15" s="22" customFormat="1" ht="45.75" customHeight="1">
      <c r="B771" s="23"/>
      <c r="C771" s="23"/>
      <c r="E771" s="24"/>
      <c r="G771" s="25"/>
      <c r="I771" s="26"/>
      <c r="J771" s="27"/>
      <c r="K771" s="27"/>
      <c r="L771" s="27"/>
      <c r="M771" s="27"/>
      <c r="N771" s="23"/>
      <c r="O771" s="28"/>
    </row>
    <row r="772" spans="2:15" s="22" customFormat="1" ht="45.75" customHeight="1">
      <c r="B772" s="23"/>
      <c r="C772" s="23"/>
      <c r="E772" s="24"/>
      <c r="G772" s="25"/>
      <c r="I772" s="26"/>
      <c r="J772" s="27"/>
      <c r="K772" s="27"/>
      <c r="L772" s="27"/>
      <c r="M772" s="27"/>
      <c r="N772" s="23"/>
      <c r="O772" s="28"/>
    </row>
    <row r="773" spans="2:15" s="22" customFormat="1" ht="45.75" customHeight="1">
      <c r="B773" s="23"/>
      <c r="C773" s="23"/>
      <c r="E773" s="24"/>
      <c r="G773" s="25"/>
      <c r="I773" s="26"/>
      <c r="J773" s="27"/>
      <c r="K773" s="27"/>
      <c r="L773" s="27"/>
      <c r="M773" s="27"/>
      <c r="N773" s="23"/>
      <c r="O773" s="28"/>
    </row>
    <row r="774" spans="2:15" s="22" customFormat="1" ht="45.75" customHeight="1">
      <c r="B774" s="23"/>
      <c r="C774" s="23"/>
      <c r="E774" s="24"/>
      <c r="G774" s="25"/>
      <c r="I774" s="26"/>
      <c r="J774" s="27"/>
      <c r="K774" s="27"/>
      <c r="L774" s="27"/>
      <c r="M774" s="27"/>
      <c r="N774" s="23"/>
      <c r="O774" s="28"/>
    </row>
    <row r="775" spans="2:15" s="22" customFormat="1" ht="45.75" customHeight="1">
      <c r="B775" s="23"/>
      <c r="C775" s="23"/>
      <c r="E775" s="24"/>
      <c r="G775" s="25"/>
      <c r="I775" s="26"/>
      <c r="J775" s="27"/>
      <c r="K775" s="27"/>
      <c r="L775" s="27"/>
      <c r="M775" s="27"/>
      <c r="N775" s="23"/>
      <c r="O775" s="28"/>
    </row>
    <row r="776" spans="2:15" s="22" customFormat="1" ht="45.75" customHeight="1">
      <c r="B776" s="23"/>
      <c r="C776" s="23"/>
      <c r="E776" s="24"/>
      <c r="G776" s="25"/>
      <c r="I776" s="26"/>
      <c r="J776" s="27"/>
      <c r="K776" s="27"/>
      <c r="L776" s="27"/>
      <c r="M776" s="27"/>
      <c r="N776" s="23"/>
      <c r="O776" s="28"/>
    </row>
    <row r="777" spans="2:15" s="22" customFormat="1" ht="45.75" customHeight="1">
      <c r="B777" s="23"/>
      <c r="C777" s="23"/>
      <c r="E777" s="24"/>
      <c r="G777" s="25"/>
      <c r="I777" s="26"/>
      <c r="J777" s="27"/>
      <c r="K777" s="27"/>
      <c r="L777" s="27"/>
      <c r="M777" s="27"/>
      <c r="N777" s="23"/>
      <c r="O777" s="28"/>
    </row>
    <row r="778" spans="2:15" s="22" customFormat="1" ht="45.75" customHeight="1">
      <c r="B778" s="23"/>
      <c r="C778" s="23"/>
      <c r="E778" s="24"/>
      <c r="G778" s="25"/>
      <c r="I778" s="26"/>
      <c r="J778" s="27"/>
      <c r="K778" s="27"/>
      <c r="L778" s="27"/>
      <c r="M778" s="27"/>
      <c r="N778" s="23"/>
      <c r="O778" s="28"/>
    </row>
    <row r="779" spans="2:15" s="22" customFormat="1" ht="45.75" customHeight="1">
      <c r="B779" s="23"/>
      <c r="C779" s="23"/>
      <c r="E779" s="24"/>
      <c r="G779" s="25"/>
      <c r="I779" s="26"/>
      <c r="J779" s="27"/>
      <c r="K779" s="27"/>
      <c r="L779" s="27"/>
      <c r="M779" s="27"/>
      <c r="N779" s="23"/>
      <c r="O779" s="28"/>
    </row>
    <row r="780" spans="2:15" s="22" customFormat="1" ht="45.75" customHeight="1">
      <c r="B780" s="23"/>
      <c r="C780" s="23"/>
      <c r="E780" s="24"/>
      <c r="G780" s="25"/>
      <c r="I780" s="26"/>
      <c r="J780" s="27"/>
      <c r="K780" s="27"/>
      <c r="L780" s="27"/>
      <c r="M780" s="27"/>
      <c r="N780" s="23"/>
      <c r="O780" s="28"/>
    </row>
    <row r="781" spans="2:15" s="22" customFormat="1" ht="45.75" customHeight="1">
      <c r="B781" s="23"/>
      <c r="C781" s="23"/>
      <c r="E781" s="24"/>
      <c r="G781" s="25"/>
      <c r="I781" s="26"/>
      <c r="J781" s="27"/>
      <c r="K781" s="27"/>
      <c r="L781" s="27"/>
      <c r="M781" s="27"/>
      <c r="N781" s="23"/>
      <c r="O781" s="28"/>
    </row>
    <row r="782" spans="2:15" s="22" customFormat="1" ht="45.75" customHeight="1">
      <c r="B782" s="23"/>
      <c r="C782" s="23"/>
      <c r="E782" s="24"/>
      <c r="G782" s="25"/>
      <c r="I782" s="26"/>
      <c r="J782" s="27"/>
      <c r="K782" s="27"/>
      <c r="L782" s="27"/>
      <c r="M782" s="27"/>
      <c r="N782" s="23"/>
      <c r="O782" s="28"/>
    </row>
    <row r="783" spans="2:15" s="22" customFormat="1" ht="45.75" customHeight="1">
      <c r="B783" s="23"/>
      <c r="C783" s="23"/>
      <c r="E783" s="24"/>
      <c r="G783" s="25"/>
      <c r="I783" s="26"/>
      <c r="J783" s="27"/>
      <c r="K783" s="27"/>
      <c r="L783" s="27"/>
      <c r="M783" s="27"/>
      <c r="N783" s="23"/>
      <c r="O783" s="28"/>
    </row>
    <row r="784" spans="2:15" s="22" customFormat="1" ht="45.75" customHeight="1">
      <c r="B784" s="23"/>
      <c r="C784" s="23"/>
      <c r="E784" s="24"/>
      <c r="G784" s="25"/>
      <c r="I784" s="26"/>
      <c r="J784" s="27"/>
      <c r="K784" s="27"/>
      <c r="L784" s="27"/>
      <c r="M784" s="27"/>
      <c r="N784" s="23"/>
      <c r="O784" s="28"/>
    </row>
    <row r="785" spans="2:15" s="22" customFormat="1" ht="45.75" customHeight="1">
      <c r="B785" s="23"/>
      <c r="C785" s="23"/>
      <c r="E785" s="24"/>
      <c r="G785" s="25"/>
      <c r="I785" s="26"/>
      <c r="J785" s="27"/>
      <c r="K785" s="27"/>
      <c r="L785" s="27"/>
      <c r="M785" s="27"/>
      <c r="N785" s="23"/>
      <c r="O785" s="28"/>
    </row>
    <row r="786" spans="2:15" s="22" customFormat="1" ht="45.75" customHeight="1">
      <c r="B786" s="23"/>
      <c r="C786" s="23"/>
      <c r="E786" s="24"/>
      <c r="G786" s="25"/>
      <c r="I786" s="26"/>
      <c r="J786" s="27"/>
      <c r="K786" s="27"/>
      <c r="L786" s="27"/>
      <c r="M786" s="27"/>
      <c r="N786" s="23"/>
      <c r="O786" s="28"/>
    </row>
    <row r="787" spans="2:15" s="22" customFormat="1" ht="45.75" customHeight="1">
      <c r="B787" s="23"/>
      <c r="C787" s="23"/>
      <c r="E787" s="24"/>
      <c r="G787" s="25"/>
      <c r="I787" s="26"/>
      <c r="J787" s="27"/>
      <c r="K787" s="27"/>
      <c r="L787" s="27"/>
      <c r="M787" s="27"/>
      <c r="N787" s="23"/>
      <c r="O787" s="28"/>
    </row>
    <row r="788" spans="2:15" s="22" customFormat="1" ht="45.75" customHeight="1">
      <c r="B788" s="23"/>
      <c r="C788" s="23"/>
      <c r="E788" s="24"/>
      <c r="G788" s="25"/>
      <c r="I788" s="26"/>
      <c r="J788" s="27"/>
      <c r="K788" s="27"/>
      <c r="L788" s="27"/>
      <c r="M788" s="27"/>
      <c r="N788" s="23"/>
      <c r="O788" s="28"/>
    </row>
    <row r="789" spans="2:15" s="22" customFormat="1" ht="45.75" customHeight="1">
      <c r="B789" s="23"/>
      <c r="C789" s="23"/>
      <c r="E789" s="24"/>
      <c r="G789" s="25"/>
      <c r="I789" s="26"/>
      <c r="J789" s="27"/>
      <c r="K789" s="27"/>
      <c r="L789" s="27"/>
      <c r="M789" s="27"/>
      <c r="N789" s="23"/>
      <c r="O789" s="28"/>
    </row>
    <row r="790" spans="2:15" s="22" customFormat="1" ht="45.75" customHeight="1">
      <c r="B790" s="23"/>
      <c r="C790" s="23"/>
      <c r="E790" s="24"/>
      <c r="G790" s="25"/>
      <c r="I790" s="26"/>
      <c r="J790" s="27"/>
      <c r="K790" s="27"/>
      <c r="L790" s="27"/>
      <c r="M790" s="27"/>
      <c r="N790" s="23"/>
      <c r="O790" s="28"/>
    </row>
    <row r="791" spans="2:15" s="22" customFormat="1" ht="45.75" customHeight="1">
      <c r="B791" s="23"/>
      <c r="C791" s="23"/>
      <c r="E791" s="24"/>
      <c r="G791" s="25"/>
      <c r="I791" s="26"/>
      <c r="J791" s="27"/>
      <c r="K791" s="27"/>
      <c r="L791" s="27"/>
      <c r="M791" s="27"/>
      <c r="N791" s="23"/>
      <c r="O791" s="28"/>
    </row>
    <row r="792" spans="2:15" s="22" customFormat="1" ht="45.75" customHeight="1">
      <c r="B792" s="23"/>
      <c r="C792" s="23"/>
      <c r="E792" s="24"/>
      <c r="G792" s="25"/>
      <c r="I792" s="26"/>
      <c r="J792" s="27"/>
      <c r="K792" s="27"/>
      <c r="L792" s="27"/>
      <c r="M792" s="27"/>
      <c r="N792" s="23"/>
      <c r="O792" s="28"/>
    </row>
    <row r="793" spans="2:15" s="22" customFormat="1" ht="45.75" customHeight="1">
      <c r="B793" s="23"/>
      <c r="C793" s="23"/>
      <c r="E793" s="24"/>
      <c r="G793" s="25"/>
      <c r="I793" s="26"/>
      <c r="J793" s="27"/>
      <c r="K793" s="27"/>
      <c r="L793" s="27"/>
      <c r="M793" s="27"/>
      <c r="N793" s="23"/>
      <c r="O793" s="28"/>
    </row>
    <row r="794" spans="2:15" s="22" customFormat="1" ht="45.75" customHeight="1">
      <c r="B794" s="23"/>
      <c r="C794" s="23"/>
      <c r="E794" s="24"/>
      <c r="G794" s="25"/>
      <c r="I794" s="26"/>
      <c r="J794" s="27"/>
      <c r="K794" s="27"/>
      <c r="L794" s="27"/>
      <c r="M794" s="27"/>
      <c r="N794" s="23"/>
      <c r="O794" s="28"/>
    </row>
    <row r="795" spans="2:15" s="22" customFormat="1" ht="45.75" customHeight="1">
      <c r="B795" s="23"/>
      <c r="C795" s="23"/>
      <c r="E795" s="24"/>
      <c r="G795" s="25"/>
      <c r="I795" s="26"/>
      <c r="J795" s="27"/>
      <c r="K795" s="27"/>
      <c r="L795" s="27"/>
      <c r="M795" s="27"/>
      <c r="N795" s="23"/>
      <c r="O795" s="28"/>
    </row>
    <row r="796" spans="2:15" s="22" customFormat="1" ht="45.75" customHeight="1">
      <c r="B796" s="23"/>
      <c r="C796" s="23"/>
      <c r="E796" s="24"/>
      <c r="G796" s="25"/>
      <c r="I796" s="26"/>
      <c r="J796" s="27"/>
      <c r="K796" s="27"/>
      <c r="L796" s="27"/>
      <c r="M796" s="27"/>
      <c r="N796" s="23"/>
      <c r="O796" s="28"/>
    </row>
    <row r="797" spans="2:15" s="22" customFormat="1" ht="45.75" customHeight="1">
      <c r="B797" s="23"/>
      <c r="C797" s="23"/>
      <c r="E797" s="24"/>
      <c r="G797" s="25"/>
      <c r="I797" s="26"/>
      <c r="J797" s="27"/>
      <c r="K797" s="27"/>
      <c r="L797" s="27"/>
      <c r="M797" s="27"/>
      <c r="N797" s="23"/>
      <c r="O797" s="28"/>
    </row>
    <row r="798" spans="2:15" s="22" customFormat="1" ht="45.75" customHeight="1">
      <c r="B798" s="23"/>
      <c r="C798" s="23"/>
      <c r="E798" s="24"/>
      <c r="G798" s="25"/>
      <c r="I798" s="26"/>
      <c r="J798" s="27"/>
      <c r="K798" s="27"/>
      <c r="L798" s="27"/>
      <c r="M798" s="27"/>
      <c r="N798" s="23"/>
      <c r="O798" s="28"/>
    </row>
    <row r="799" spans="2:15" s="22" customFormat="1" ht="45.75" customHeight="1">
      <c r="B799" s="23"/>
      <c r="C799" s="23"/>
      <c r="E799" s="24"/>
      <c r="G799" s="25"/>
      <c r="I799" s="26"/>
      <c r="J799" s="27"/>
      <c r="K799" s="27"/>
      <c r="L799" s="27"/>
      <c r="M799" s="27"/>
      <c r="N799" s="23"/>
      <c r="O799" s="28"/>
    </row>
    <row r="800" spans="2:15" s="22" customFormat="1" ht="45.75" customHeight="1">
      <c r="B800" s="23"/>
      <c r="C800" s="23"/>
      <c r="E800" s="24"/>
      <c r="G800" s="25"/>
      <c r="I800" s="26"/>
      <c r="J800" s="27"/>
      <c r="K800" s="27"/>
      <c r="L800" s="27"/>
      <c r="M800" s="27"/>
      <c r="N800" s="23"/>
      <c r="O800" s="28"/>
    </row>
    <row r="801" spans="2:15" s="22" customFormat="1" ht="45.75" customHeight="1">
      <c r="B801" s="23"/>
      <c r="C801" s="23"/>
      <c r="E801" s="24"/>
      <c r="G801" s="25"/>
      <c r="I801" s="26"/>
      <c r="J801" s="27"/>
      <c r="K801" s="27"/>
      <c r="L801" s="27"/>
      <c r="M801" s="27"/>
      <c r="N801" s="23"/>
      <c r="O801" s="28"/>
    </row>
    <row r="802" spans="2:15" s="22" customFormat="1" ht="45.75" customHeight="1">
      <c r="B802" s="23"/>
      <c r="C802" s="23"/>
      <c r="E802" s="24"/>
      <c r="G802" s="25"/>
      <c r="I802" s="26"/>
      <c r="J802" s="27"/>
      <c r="K802" s="27"/>
      <c r="L802" s="27"/>
      <c r="M802" s="27"/>
      <c r="N802" s="23"/>
      <c r="O802" s="28"/>
    </row>
    <row r="803" spans="2:15" s="22" customFormat="1" ht="45.75" customHeight="1">
      <c r="B803" s="23"/>
      <c r="C803" s="23"/>
      <c r="E803" s="24"/>
      <c r="G803" s="25"/>
      <c r="I803" s="26"/>
      <c r="J803" s="27"/>
      <c r="K803" s="27"/>
      <c r="L803" s="27"/>
      <c r="M803" s="27"/>
      <c r="N803" s="23"/>
      <c r="O803" s="28"/>
    </row>
    <row r="804" spans="2:15" s="22" customFormat="1" ht="45.75" customHeight="1">
      <c r="B804" s="23"/>
      <c r="C804" s="23"/>
      <c r="E804" s="24"/>
      <c r="G804" s="25"/>
      <c r="I804" s="26"/>
      <c r="J804" s="27"/>
      <c r="K804" s="27"/>
      <c r="L804" s="27"/>
      <c r="M804" s="27"/>
      <c r="N804" s="23"/>
      <c r="O804" s="28"/>
    </row>
    <row r="805" spans="2:15" s="22" customFormat="1" ht="45.75" customHeight="1">
      <c r="B805" s="23"/>
      <c r="C805" s="23"/>
      <c r="E805" s="24"/>
      <c r="G805" s="25"/>
      <c r="I805" s="26"/>
      <c r="J805" s="27"/>
      <c r="K805" s="27"/>
      <c r="L805" s="27"/>
      <c r="M805" s="27"/>
      <c r="N805" s="23"/>
      <c r="O805" s="28"/>
    </row>
    <row r="806" spans="2:15" s="22" customFormat="1" ht="45.75" customHeight="1">
      <c r="B806" s="23"/>
      <c r="C806" s="23"/>
      <c r="E806" s="24"/>
      <c r="G806" s="25"/>
      <c r="I806" s="26"/>
      <c r="J806" s="27"/>
      <c r="K806" s="27"/>
      <c r="L806" s="27"/>
      <c r="M806" s="27"/>
      <c r="N806" s="23"/>
      <c r="O806" s="28"/>
    </row>
    <row r="807" spans="2:15" s="22" customFormat="1" ht="45.75" customHeight="1">
      <c r="B807" s="23"/>
      <c r="C807" s="23"/>
      <c r="E807" s="24"/>
      <c r="G807" s="25"/>
      <c r="I807" s="26"/>
      <c r="J807" s="27"/>
      <c r="K807" s="27"/>
      <c r="L807" s="27"/>
      <c r="M807" s="27"/>
      <c r="N807" s="23"/>
      <c r="O807" s="28"/>
    </row>
    <row r="808" spans="2:15" s="22" customFormat="1" ht="45.75" customHeight="1">
      <c r="B808" s="23"/>
      <c r="C808" s="23"/>
      <c r="E808" s="24"/>
      <c r="G808" s="25"/>
      <c r="I808" s="26"/>
      <c r="J808" s="27"/>
      <c r="K808" s="27"/>
      <c r="L808" s="27"/>
      <c r="M808" s="27"/>
      <c r="N808" s="23"/>
      <c r="O808" s="28"/>
    </row>
    <row r="809" spans="2:15" s="22" customFormat="1" ht="45.75" customHeight="1">
      <c r="B809" s="23"/>
      <c r="C809" s="23"/>
      <c r="E809" s="24"/>
      <c r="G809" s="25"/>
      <c r="I809" s="26"/>
      <c r="J809" s="27"/>
      <c r="K809" s="27"/>
      <c r="L809" s="27"/>
      <c r="M809" s="27"/>
      <c r="N809" s="23"/>
      <c r="O809" s="28"/>
    </row>
    <row r="810" spans="2:15" s="22" customFormat="1" ht="45.75" customHeight="1">
      <c r="B810" s="23"/>
      <c r="C810" s="23"/>
      <c r="E810" s="24"/>
      <c r="G810" s="25"/>
      <c r="I810" s="26"/>
      <c r="J810" s="27"/>
      <c r="K810" s="27"/>
      <c r="L810" s="27"/>
      <c r="M810" s="27"/>
      <c r="N810" s="23"/>
      <c r="O810" s="28"/>
    </row>
    <row r="811" spans="2:15" s="22" customFormat="1" ht="45.75" customHeight="1">
      <c r="B811" s="23"/>
      <c r="C811" s="23"/>
      <c r="E811" s="24"/>
      <c r="G811" s="25"/>
      <c r="I811" s="26"/>
      <c r="J811" s="27"/>
      <c r="K811" s="27"/>
      <c r="L811" s="27"/>
      <c r="M811" s="27"/>
      <c r="N811" s="23"/>
      <c r="O811" s="28"/>
    </row>
    <row r="812" spans="2:15" s="22" customFormat="1" ht="45.75" customHeight="1">
      <c r="B812" s="23"/>
      <c r="C812" s="23"/>
      <c r="E812" s="24"/>
      <c r="G812" s="25"/>
      <c r="I812" s="26"/>
      <c r="J812" s="27"/>
      <c r="K812" s="27"/>
      <c r="L812" s="27"/>
      <c r="M812" s="27"/>
      <c r="N812" s="23"/>
      <c r="O812" s="28"/>
    </row>
    <row r="813" spans="2:15" s="22" customFormat="1" ht="45.75" customHeight="1">
      <c r="B813" s="23"/>
      <c r="C813" s="23"/>
      <c r="E813" s="24"/>
      <c r="G813" s="25"/>
      <c r="I813" s="26"/>
      <c r="J813" s="27"/>
      <c r="K813" s="27"/>
      <c r="L813" s="27"/>
      <c r="M813" s="27"/>
      <c r="N813" s="23"/>
      <c r="O813" s="28"/>
    </row>
    <row r="814" spans="2:15" s="22" customFormat="1" ht="45.75" customHeight="1">
      <c r="B814" s="23"/>
      <c r="C814" s="23"/>
      <c r="E814" s="24"/>
      <c r="G814" s="25"/>
      <c r="I814" s="26"/>
      <c r="J814" s="27"/>
      <c r="K814" s="27"/>
      <c r="L814" s="27"/>
      <c r="M814" s="27"/>
      <c r="N814" s="23"/>
      <c r="O814" s="28"/>
    </row>
    <row r="815" spans="2:15" s="22" customFormat="1" ht="45.75" customHeight="1">
      <c r="B815" s="23"/>
      <c r="C815" s="23"/>
      <c r="E815" s="24"/>
      <c r="G815" s="25"/>
      <c r="I815" s="26"/>
      <c r="J815" s="27"/>
      <c r="K815" s="27"/>
      <c r="L815" s="27"/>
      <c r="M815" s="27"/>
      <c r="N815" s="23"/>
      <c r="O815" s="28"/>
    </row>
    <row r="816" spans="2:15" s="22" customFormat="1" ht="45.75" customHeight="1">
      <c r="B816" s="23"/>
      <c r="C816" s="23"/>
      <c r="E816" s="24"/>
      <c r="G816" s="25"/>
      <c r="I816" s="26"/>
      <c r="J816" s="27"/>
      <c r="K816" s="27"/>
      <c r="L816" s="27"/>
      <c r="M816" s="27"/>
      <c r="N816" s="23"/>
      <c r="O816" s="28"/>
    </row>
    <row r="817" spans="2:15" s="22" customFormat="1" ht="45.75" customHeight="1">
      <c r="B817" s="23"/>
      <c r="C817" s="23"/>
      <c r="E817" s="24"/>
      <c r="G817" s="25"/>
      <c r="I817" s="26"/>
      <c r="J817" s="27"/>
      <c r="K817" s="27"/>
      <c r="L817" s="27"/>
      <c r="M817" s="27"/>
      <c r="N817" s="23"/>
      <c r="O817" s="28"/>
    </row>
    <row r="818" spans="2:15" s="22" customFormat="1" ht="45.75" customHeight="1">
      <c r="B818" s="23"/>
      <c r="C818" s="23"/>
      <c r="E818" s="24"/>
      <c r="G818" s="25"/>
      <c r="I818" s="26"/>
      <c r="J818" s="27"/>
      <c r="K818" s="27"/>
      <c r="L818" s="27"/>
      <c r="M818" s="27"/>
      <c r="N818" s="23"/>
      <c r="O818" s="28"/>
    </row>
    <row r="819" spans="2:15" s="22" customFormat="1" ht="45.75" customHeight="1">
      <c r="B819" s="23"/>
      <c r="C819" s="23"/>
      <c r="E819" s="24"/>
      <c r="G819" s="25"/>
      <c r="I819" s="26"/>
      <c r="J819" s="27"/>
      <c r="K819" s="27"/>
      <c r="L819" s="27"/>
      <c r="M819" s="27"/>
      <c r="N819" s="23"/>
      <c r="O819" s="28"/>
    </row>
    <row r="820" spans="2:15" s="22" customFormat="1" ht="45.75" customHeight="1">
      <c r="B820" s="23"/>
      <c r="C820" s="23"/>
      <c r="E820" s="24"/>
      <c r="G820" s="25"/>
      <c r="I820" s="26"/>
      <c r="J820" s="27"/>
      <c r="K820" s="27"/>
      <c r="L820" s="27"/>
      <c r="M820" s="27"/>
      <c r="N820" s="23"/>
      <c r="O820" s="28"/>
    </row>
    <row r="821" spans="2:15" s="22" customFormat="1" ht="45.75" customHeight="1">
      <c r="B821" s="23"/>
      <c r="C821" s="23"/>
      <c r="E821" s="24"/>
      <c r="G821" s="25"/>
      <c r="I821" s="26"/>
      <c r="J821" s="27"/>
      <c r="K821" s="27"/>
      <c r="L821" s="27"/>
      <c r="M821" s="27"/>
      <c r="N821" s="23"/>
      <c r="O821" s="28"/>
    </row>
    <row r="822" spans="2:15" s="22" customFormat="1" ht="45.75" customHeight="1">
      <c r="B822" s="23"/>
      <c r="C822" s="23"/>
      <c r="E822" s="24"/>
      <c r="G822" s="25"/>
      <c r="I822" s="26"/>
      <c r="J822" s="27"/>
      <c r="K822" s="27"/>
      <c r="L822" s="27"/>
      <c r="M822" s="27"/>
      <c r="N822" s="23"/>
      <c r="O822" s="28"/>
    </row>
    <row r="823" spans="2:15" s="22" customFormat="1" ht="45.75" customHeight="1">
      <c r="B823" s="23"/>
      <c r="C823" s="23"/>
      <c r="E823" s="24"/>
      <c r="G823" s="25"/>
      <c r="I823" s="26"/>
      <c r="J823" s="27"/>
      <c r="K823" s="27"/>
      <c r="L823" s="27"/>
      <c r="M823" s="27"/>
      <c r="N823" s="23"/>
      <c r="O823" s="28"/>
    </row>
    <row r="824" spans="2:15" s="22" customFormat="1" ht="45.75" customHeight="1">
      <c r="B824" s="23"/>
      <c r="C824" s="23"/>
      <c r="E824" s="24"/>
      <c r="G824" s="25"/>
      <c r="I824" s="26"/>
      <c r="J824" s="27"/>
      <c r="K824" s="27"/>
      <c r="L824" s="27"/>
      <c r="M824" s="27"/>
      <c r="N824" s="23"/>
      <c r="O824" s="28"/>
    </row>
    <row r="825" spans="2:15" s="22" customFormat="1" ht="45.75" customHeight="1">
      <c r="B825" s="23"/>
      <c r="C825" s="23"/>
      <c r="E825" s="24"/>
      <c r="G825" s="25"/>
      <c r="I825" s="26"/>
      <c r="J825" s="27"/>
      <c r="K825" s="27"/>
      <c r="L825" s="27"/>
      <c r="M825" s="27"/>
      <c r="N825" s="23"/>
      <c r="O825" s="28"/>
    </row>
    <row r="826" spans="2:15" s="22" customFormat="1" ht="45.75" customHeight="1">
      <c r="B826" s="23"/>
      <c r="C826" s="23"/>
      <c r="E826" s="24"/>
      <c r="G826" s="25"/>
      <c r="I826" s="26"/>
      <c r="J826" s="27"/>
      <c r="K826" s="27"/>
      <c r="L826" s="27"/>
      <c r="M826" s="27"/>
      <c r="N826" s="23"/>
      <c r="O826" s="28"/>
    </row>
    <row r="827" spans="2:15" s="22" customFormat="1" ht="45.75" customHeight="1">
      <c r="B827" s="23"/>
      <c r="C827" s="23"/>
      <c r="E827" s="24"/>
      <c r="G827" s="25"/>
      <c r="I827" s="26"/>
      <c r="J827" s="27"/>
      <c r="K827" s="27"/>
      <c r="L827" s="27"/>
      <c r="M827" s="27"/>
      <c r="N827" s="23"/>
      <c r="O827" s="28"/>
    </row>
    <row r="828" spans="2:15" s="22" customFormat="1" ht="45.75" customHeight="1">
      <c r="B828" s="23"/>
      <c r="C828" s="23"/>
      <c r="E828" s="24"/>
      <c r="G828" s="25"/>
      <c r="I828" s="26"/>
      <c r="J828" s="27"/>
      <c r="K828" s="27"/>
      <c r="L828" s="27"/>
      <c r="M828" s="27"/>
      <c r="N828" s="23"/>
      <c r="O828" s="28"/>
    </row>
    <row r="829" spans="2:15" s="22" customFormat="1" ht="45.75" customHeight="1">
      <c r="B829" s="23"/>
      <c r="C829" s="23"/>
      <c r="E829" s="24"/>
      <c r="G829" s="25"/>
      <c r="I829" s="26"/>
      <c r="J829" s="27"/>
      <c r="K829" s="27"/>
      <c r="L829" s="27"/>
      <c r="M829" s="27"/>
      <c r="N829" s="23"/>
      <c r="O829" s="28"/>
    </row>
    <row r="830" spans="2:15" s="22" customFormat="1" ht="45.75" customHeight="1">
      <c r="B830" s="23"/>
      <c r="C830" s="23"/>
      <c r="E830" s="24"/>
      <c r="G830" s="25"/>
      <c r="I830" s="26"/>
      <c r="J830" s="27"/>
      <c r="K830" s="27"/>
      <c r="L830" s="27"/>
      <c r="M830" s="27"/>
      <c r="N830" s="23"/>
      <c r="O830" s="28"/>
    </row>
    <row r="831" spans="2:15" s="22" customFormat="1" ht="45.75" customHeight="1">
      <c r="B831" s="23"/>
      <c r="C831" s="23"/>
      <c r="E831" s="24"/>
      <c r="G831" s="25"/>
      <c r="I831" s="26"/>
      <c r="J831" s="27"/>
      <c r="K831" s="27"/>
      <c r="L831" s="27"/>
      <c r="M831" s="27"/>
      <c r="N831" s="23"/>
      <c r="O831" s="28"/>
    </row>
    <row r="832" spans="2:15" s="22" customFormat="1" ht="45.75" customHeight="1">
      <c r="B832" s="23"/>
      <c r="C832" s="23"/>
      <c r="E832" s="24"/>
      <c r="G832" s="25"/>
      <c r="I832" s="26"/>
      <c r="J832" s="27"/>
      <c r="K832" s="27"/>
      <c r="L832" s="27"/>
      <c r="M832" s="27"/>
      <c r="N832" s="23"/>
      <c r="O832" s="28"/>
    </row>
    <row r="833" spans="2:15" s="22" customFormat="1" ht="45.75" customHeight="1">
      <c r="B833" s="23"/>
      <c r="C833" s="23"/>
      <c r="E833" s="24"/>
      <c r="G833" s="25"/>
      <c r="I833" s="26"/>
      <c r="J833" s="27"/>
      <c r="K833" s="27"/>
      <c r="L833" s="27"/>
      <c r="M833" s="27"/>
      <c r="N833" s="23"/>
      <c r="O833" s="28"/>
    </row>
    <row r="834" spans="2:15" s="22" customFormat="1" ht="45.75" customHeight="1">
      <c r="B834" s="23"/>
      <c r="C834" s="23"/>
      <c r="E834" s="24"/>
      <c r="G834" s="25"/>
      <c r="I834" s="26"/>
      <c r="J834" s="27"/>
      <c r="K834" s="27"/>
      <c r="L834" s="27"/>
      <c r="M834" s="27"/>
      <c r="N834" s="23"/>
      <c r="O834" s="28"/>
    </row>
    <row r="835" spans="2:15" s="22" customFormat="1" ht="45.75" customHeight="1">
      <c r="B835" s="23"/>
      <c r="C835" s="23"/>
      <c r="E835" s="24"/>
      <c r="G835" s="25"/>
      <c r="I835" s="26"/>
      <c r="J835" s="27"/>
      <c r="K835" s="27"/>
      <c r="L835" s="27"/>
      <c r="M835" s="27"/>
      <c r="N835" s="23"/>
      <c r="O835" s="28"/>
    </row>
    <row r="836" spans="2:15" s="22" customFormat="1" ht="45.75" customHeight="1">
      <c r="B836" s="23"/>
      <c r="C836" s="23"/>
      <c r="E836" s="24"/>
      <c r="G836" s="25"/>
      <c r="I836" s="26"/>
      <c r="J836" s="27"/>
      <c r="K836" s="27"/>
      <c r="L836" s="27"/>
      <c r="M836" s="27"/>
      <c r="N836" s="23"/>
      <c r="O836" s="28"/>
    </row>
    <row r="837" spans="2:15" s="22" customFormat="1" ht="45.75" customHeight="1">
      <c r="B837" s="23"/>
      <c r="C837" s="23"/>
      <c r="E837" s="24"/>
      <c r="G837" s="25"/>
      <c r="I837" s="26"/>
      <c r="J837" s="27"/>
      <c r="K837" s="27"/>
      <c r="L837" s="27"/>
      <c r="M837" s="27"/>
      <c r="N837" s="23"/>
      <c r="O837" s="28"/>
    </row>
    <row r="838" spans="2:15" s="22" customFormat="1" ht="45.75" customHeight="1">
      <c r="B838" s="23"/>
      <c r="C838" s="23"/>
      <c r="E838" s="24"/>
      <c r="G838" s="25"/>
      <c r="I838" s="26"/>
      <c r="J838" s="27"/>
      <c r="K838" s="27"/>
      <c r="L838" s="27"/>
      <c r="M838" s="27"/>
      <c r="N838" s="23"/>
      <c r="O838" s="28"/>
    </row>
    <row r="839" spans="2:15" s="22" customFormat="1" ht="45.75" customHeight="1">
      <c r="B839" s="23"/>
      <c r="C839" s="23"/>
      <c r="E839" s="24"/>
      <c r="G839" s="25"/>
      <c r="I839" s="26"/>
      <c r="J839" s="27"/>
      <c r="K839" s="27"/>
      <c r="L839" s="27"/>
      <c r="M839" s="27"/>
      <c r="N839" s="23"/>
      <c r="O839" s="28"/>
    </row>
    <row r="840" spans="2:15" s="22" customFormat="1" ht="45.75" customHeight="1">
      <c r="B840" s="23"/>
      <c r="C840" s="23"/>
      <c r="E840" s="24"/>
      <c r="G840" s="25"/>
      <c r="I840" s="26"/>
      <c r="J840" s="27"/>
      <c r="K840" s="27"/>
      <c r="L840" s="27"/>
      <c r="M840" s="27"/>
      <c r="N840" s="23"/>
      <c r="O840" s="28"/>
    </row>
    <row r="841" spans="2:15" s="22" customFormat="1" ht="45.75" customHeight="1">
      <c r="B841" s="23"/>
      <c r="C841" s="23"/>
      <c r="E841" s="24"/>
      <c r="G841" s="25"/>
      <c r="I841" s="26"/>
      <c r="J841" s="27"/>
      <c r="K841" s="27"/>
      <c r="L841" s="27"/>
      <c r="M841" s="27"/>
      <c r="N841" s="23"/>
      <c r="O841" s="28"/>
    </row>
    <row r="842" spans="2:15" s="22" customFormat="1" ht="45.75" customHeight="1">
      <c r="B842" s="23"/>
      <c r="C842" s="23"/>
      <c r="E842" s="24"/>
      <c r="G842" s="25"/>
      <c r="I842" s="26"/>
      <c r="J842" s="27"/>
      <c r="K842" s="27"/>
      <c r="L842" s="27"/>
      <c r="M842" s="27"/>
      <c r="N842" s="23"/>
      <c r="O842" s="28"/>
    </row>
    <row r="843" spans="2:15" s="22" customFormat="1" ht="45.75" customHeight="1">
      <c r="B843" s="23"/>
      <c r="C843" s="23"/>
      <c r="E843" s="24"/>
      <c r="G843" s="25"/>
      <c r="I843" s="26"/>
      <c r="J843" s="27"/>
      <c r="K843" s="27"/>
      <c r="L843" s="27"/>
      <c r="M843" s="27"/>
      <c r="N843" s="23"/>
      <c r="O843" s="28"/>
    </row>
    <row r="844" spans="2:15" s="22" customFormat="1" ht="45.75" customHeight="1">
      <c r="B844" s="23"/>
      <c r="C844" s="23"/>
      <c r="E844" s="24"/>
      <c r="G844" s="25"/>
      <c r="I844" s="26"/>
      <c r="J844" s="27"/>
      <c r="K844" s="27"/>
      <c r="L844" s="27"/>
      <c r="M844" s="27"/>
      <c r="N844" s="23"/>
      <c r="O844" s="28"/>
    </row>
    <row r="845" spans="2:15" s="22" customFormat="1" ht="45.75" customHeight="1">
      <c r="B845" s="23"/>
      <c r="C845" s="23"/>
      <c r="E845" s="24"/>
      <c r="G845" s="25"/>
      <c r="I845" s="26"/>
      <c r="J845" s="27"/>
      <c r="K845" s="27"/>
      <c r="L845" s="27"/>
      <c r="M845" s="27"/>
      <c r="N845" s="23"/>
      <c r="O845" s="28"/>
    </row>
    <row r="846" spans="2:15" s="22" customFormat="1" ht="45.75" customHeight="1">
      <c r="B846" s="23"/>
      <c r="C846" s="23"/>
      <c r="E846" s="24"/>
      <c r="G846" s="25"/>
      <c r="I846" s="26"/>
      <c r="J846" s="27"/>
      <c r="K846" s="27"/>
      <c r="L846" s="27"/>
      <c r="M846" s="27"/>
      <c r="N846" s="23"/>
      <c r="O846" s="28"/>
    </row>
    <row r="847" spans="2:15" s="22" customFormat="1" ht="45.75" customHeight="1">
      <c r="B847" s="23"/>
      <c r="C847" s="23"/>
      <c r="E847" s="24"/>
      <c r="G847" s="25"/>
      <c r="I847" s="26"/>
      <c r="J847" s="27"/>
      <c r="K847" s="27"/>
      <c r="L847" s="27"/>
      <c r="M847" s="27"/>
      <c r="N847" s="23"/>
      <c r="O847" s="28"/>
    </row>
    <row r="848" spans="2:15" s="22" customFormat="1" ht="45.75" customHeight="1">
      <c r="B848" s="23"/>
      <c r="C848" s="23"/>
      <c r="E848" s="24"/>
      <c r="G848" s="25"/>
      <c r="I848" s="26"/>
      <c r="J848" s="27"/>
      <c r="K848" s="27"/>
      <c r="L848" s="27"/>
      <c r="M848" s="27"/>
      <c r="N848" s="23"/>
      <c r="O848" s="28"/>
    </row>
    <row r="849" spans="2:15" s="22" customFormat="1" ht="45.75" customHeight="1">
      <c r="B849" s="23"/>
      <c r="C849" s="23"/>
      <c r="E849" s="24"/>
      <c r="G849" s="25"/>
      <c r="I849" s="26"/>
      <c r="J849" s="27"/>
      <c r="K849" s="27"/>
      <c r="L849" s="27"/>
      <c r="M849" s="27"/>
      <c r="N849" s="23"/>
      <c r="O849" s="28"/>
    </row>
    <row r="850" spans="2:15" s="22" customFormat="1" ht="45.75" customHeight="1">
      <c r="B850" s="23"/>
      <c r="C850" s="23"/>
      <c r="E850" s="24"/>
      <c r="G850" s="25"/>
      <c r="I850" s="26"/>
      <c r="J850" s="27"/>
      <c r="K850" s="27"/>
      <c r="L850" s="27"/>
      <c r="M850" s="27"/>
      <c r="N850" s="23"/>
      <c r="O850" s="28"/>
    </row>
    <row r="851" spans="2:15" s="22" customFormat="1" ht="45.75" customHeight="1">
      <c r="B851" s="23"/>
      <c r="C851" s="23"/>
      <c r="E851" s="24"/>
      <c r="G851" s="25"/>
      <c r="I851" s="26"/>
      <c r="J851" s="27"/>
      <c r="K851" s="27"/>
      <c r="L851" s="27"/>
      <c r="M851" s="27"/>
      <c r="N851" s="23"/>
      <c r="O851" s="28"/>
    </row>
    <row r="852" spans="2:15" s="22" customFormat="1" ht="45.75" customHeight="1">
      <c r="B852" s="23"/>
      <c r="C852" s="23"/>
      <c r="E852" s="24"/>
      <c r="G852" s="25"/>
      <c r="I852" s="26"/>
      <c r="J852" s="27"/>
      <c r="K852" s="27"/>
      <c r="L852" s="27"/>
      <c r="M852" s="27"/>
      <c r="N852" s="23"/>
      <c r="O852" s="28"/>
    </row>
    <row r="853" spans="2:15" s="22" customFormat="1" ht="45.75" customHeight="1">
      <c r="B853" s="23"/>
      <c r="C853" s="23"/>
      <c r="E853" s="24"/>
      <c r="G853" s="25"/>
      <c r="I853" s="26"/>
      <c r="J853" s="27"/>
      <c r="K853" s="27"/>
      <c r="L853" s="27"/>
      <c r="M853" s="27"/>
      <c r="N853" s="23"/>
      <c r="O853" s="28"/>
    </row>
    <row r="854" spans="2:15" s="22" customFormat="1" ht="45.75" customHeight="1">
      <c r="B854" s="23"/>
      <c r="C854" s="23"/>
      <c r="E854" s="24"/>
      <c r="G854" s="25"/>
      <c r="I854" s="26"/>
      <c r="J854" s="27"/>
      <c r="K854" s="27"/>
      <c r="L854" s="27"/>
      <c r="M854" s="27"/>
      <c r="N854" s="23"/>
      <c r="O854" s="28"/>
    </row>
    <row r="855" spans="2:15" s="22" customFormat="1" ht="45.75" customHeight="1">
      <c r="B855" s="23"/>
      <c r="C855" s="23"/>
      <c r="E855" s="24"/>
      <c r="G855" s="25"/>
      <c r="I855" s="26"/>
      <c r="J855" s="27"/>
      <c r="K855" s="27"/>
      <c r="L855" s="27"/>
      <c r="M855" s="27"/>
      <c r="N855" s="23"/>
      <c r="O855" s="28"/>
    </row>
    <row r="856" spans="2:15" s="22" customFormat="1" ht="45.75" customHeight="1">
      <c r="B856" s="23"/>
      <c r="C856" s="23"/>
      <c r="E856" s="24"/>
      <c r="G856" s="25"/>
      <c r="I856" s="26"/>
      <c r="J856" s="27"/>
      <c r="K856" s="27"/>
      <c r="L856" s="27"/>
      <c r="M856" s="27"/>
      <c r="N856" s="23"/>
      <c r="O856" s="28"/>
    </row>
    <row r="857" spans="2:15" s="22" customFormat="1" ht="45.75" customHeight="1">
      <c r="B857" s="23"/>
      <c r="C857" s="23"/>
      <c r="E857" s="24"/>
      <c r="G857" s="25"/>
      <c r="I857" s="26"/>
      <c r="J857" s="27"/>
      <c r="K857" s="27"/>
      <c r="L857" s="27"/>
      <c r="M857" s="27"/>
      <c r="N857" s="23"/>
      <c r="O857" s="28"/>
    </row>
    <row r="858" spans="2:15" s="22" customFormat="1" ht="45.75" customHeight="1">
      <c r="B858" s="23"/>
      <c r="C858" s="23"/>
      <c r="E858" s="24"/>
      <c r="G858" s="25"/>
      <c r="I858" s="26"/>
      <c r="J858" s="27"/>
      <c r="K858" s="27"/>
      <c r="L858" s="27"/>
      <c r="M858" s="27"/>
      <c r="N858" s="23"/>
      <c r="O858" s="28"/>
    </row>
    <row r="859" spans="2:15" s="22" customFormat="1" ht="45.75" customHeight="1">
      <c r="B859" s="23"/>
      <c r="C859" s="23"/>
      <c r="E859" s="24"/>
      <c r="G859" s="25"/>
      <c r="I859" s="26"/>
      <c r="J859" s="27"/>
      <c r="K859" s="27"/>
      <c r="L859" s="27"/>
      <c r="M859" s="27"/>
      <c r="N859" s="23"/>
      <c r="O859" s="28"/>
    </row>
    <row r="860" spans="2:15" s="22" customFormat="1" ht="45.75" customHeight="1">
      <c r="B860" s="23"/>
      <c r="C860" s="23"/>
      <c r="E860" s="24"/>
      <c r="G860" s="25"/>
      <c r="I860" s="26"/>
      <c r="J860" s="27"/>
      <c r="K860" s="27"/>
      <c r="L860" s="27"/>
      <c r="M860" s="27"/>
      <c r="N860" s="23"/>
      <c r="O860" s="28"/>
    </row>
    <row r="861" spans="2:15" s="22" customFormat="1" ht="45.75" customHeight="1">
      <c r="B861" s="23"/>
      <c r="C861" s="23"/>
      <c r="E861" s="24"/>
      <c r="G861" s="25"/>
      <c r="I861" s="26"/>
      <c r="J861" s="27"/>
      <c r="K861" s="27"/>
      <c r="L861" s="27"/>
      <c r="M861" s="27"/>
      <c r="N861" s="23"/>
      <c r="O861" s="28"/>
    </row>
    <row r="862" spans="2:15" s="22" customFormat="1" ht="45.75" customHeight="1">
      <c r="B862" s="23"/>
      <c r="C862" s="23"/>
      <c r="E862" s="24"/>
      <c r="G862" s="25"/>
      <c r="I862" s="26"/>
      <c r="J862" s="27"/>
      <c r="K862" s="27"/>
      <c r="L862" s="27"/>
      <c r="M862" s="27"/>
      <c r="N862" s="23"/>
      <c r="O862" s="28"/>
    </row>
    <row r="863" spans="2:15" s="22" customFormat="1" ht="45.75" customHeight="1">
      <c r="B863" s="23"/>
      <c r="C863" s="23"/>
      <c r="E863" s="24"/>
      <c r="G863" s="25"/>
      <c r="I863" s="26"/>
      <c r="J863" s="27"/>
      <c r="K863" s="27"/>
      <c r="L863" s="27"/>
      <c r="M863" s="27"/>
      <c r="N863" s="23"/>
      <c r="O863" s="28"/>
    </row>
    <row r="864" spans="2:15" s="22" customFormat="1" ht="45.75" customHeight="1">
      <c r="B864" s="23"/>
      <c r="C864" s="23"/>
      <c r="E864" s="24"/>
      <c r="G864" s="25"/>
      <c r="I864" s="26"/>
      <c r="J864" s="27"/>
      <c r="K864" s="27"/>
      <c r="L864" s="27"/>
      <c r="M864" s="27"/>
      <c r="N864" s="23"/>
      <c r="O864" s="28"/>
    </row>
    <row r="865" spans="2:15" s="22" customFormat="1" ht="45.75" customHeight="1">
      <c r="B865" s="23"/>
      <c r="C865" s="23"/>
      <c r="E865" s="24"/>
      <c r="G865" s="25"/>
      <c r="I865" s="26"/>
      <c r="J865" s="27"/>
      <c r="K865" s="27"/>
      <c r="L865" s="27"/>
      <c r="M865" s="27"/>
      <c r="N865" s="23"/>
      <c r="O865" s="28"/>
    </row>
    <row r="866" spans="2:15" s="22" customFormat="1" ht="45.75" customHeight="1">
      <c r="B866" s="23"/>
      <c r="C866" s="23"/>
      <c r="E866" s="24"/>
      <c r="G866" s="25"/>
      <c r="I866" s="26"/>
      <c r="J866" s="27"/>
      <c r="K866" s="27"/>
      <c r="L866" s="27"/>
      <c r="M866" s="27"/>
      <c r="N866" s="23"/>
      <c r="O866" s="28"/>
    </row>
    <row r="867" spans="2:15" s="22" customFormat="1" ht="45.75" customHeight="1">
      <c r="B867" s="23"/>
      <c r="C867" s="23"/>
      <c r="E867" s="24"/>
      <c r="G867" s="25"/>
      <c r="I867" s="26"/>
      <c r="J867" s="27"/>
      <c r="K867" s="27"/>
      <c r="L867" s="27"/>
      <c r="M867" s="27"/>
      <c r="N867" s="23"/>
      <c r="O867" s="28"/>
    </row>
    <row r="868" spans="2:15" s="22" customFormat="1" ht="45.75" customHeight="1">
      <c r="B868" s="23"/>
      <c r="C868" s="23"/>
      <c r="E868" s="24"/>
      <c r="G868" s="25"/>
      <c r="I868" s="26"/>
      <c r="J868" s="27"/>
      <c r="K868" s="27"/>
      <c r="L868" s="27"/>
      <c r="M868" s="27"/>
      <c r="N868" s="23"/>
      <c r="O868" s="28"/>
    </row>
    <row r="869" spans="2:15" s="22" customFormat="1" ht="45.75" customHeight="1">
      <c r="B869" s="23"/>
      <c r="C869" s="23"/>
      <c r="E869" s="24"/>
      <c r="G869" s="25"/>
      <c r="I869" s="26"/>
      <c r="J869" s="27"/>
      <c r="K869" s="27"/>
      <c r="L869" s="27"/>
      <c r="M869" s="27"/>
      <c r="N869" s="23"/>
      <c r="O869" s="28"/>
    </row>
    <row r="870" spans="2:15" s="22" customFormat="1" ht="45.75" customHeight="1">
      <c r="B870" s="23"/>
      <c r="C870" s="23"/>
      <c r="E870" s="24"/>
      <c r="G870" s="25"/>
      <c r="I870" s="26"/>
      <c r="J870" s="27"/>
      <c r="K870" s="27"/>
      <c r="L870" s="27"/>
      <c r="M870" s="27"/>
      <c r="N870" s="23"/>
      <c r="O870" s="28"/>
    </row>
    <row r="871" spans="2:15" s="22" customFormat="1" ht="45.75" customHeight="1">
      <c r="B871" s="23"/>
      <c r="C871" s="23"/>
      <c r="E871" s="24"/>
      <c r="G871" s="25"/>
      <c r="I871" s="26"/>
      <c r="J871" s="27"/>
      <c r="K871" s="27"/>
      <c r="L871" s="27"/>
      <c r="M871" s="27"/>
      <c r="N871" s="23"/>
      <c r="O871" s="28"/>
    </row>
    <row r="872" spans="2:15" s="22" customFormat="1" ht="45.75" customHeight="1">
      <c r="B872" s="23"/>
      <c r="C872" s="23"/>
      <c r="E872" s="24"/>
      <c r="G872" s="25"/>
      <c r="I872" s="26"/>
      <c r="J872" s="27"/>
      <c r="K872" s="27"/>
      <c r="L872" s="27"/>
      <c r="M872" s="27"/>
      <c r="N872" s="23"/>
      <c r="O872" s="28"/>
    </row>
    <row r="873" spans="2:15" s="22" customFormat="1" ht="45.75" customHeight="1">
      <c r="B873" s="23"/>
      <c r="C873" s="23"/>
      <c r="E873" s="24"/>
      <c r="G873" s="25"/>
      <c r="I873" s="26"/>
      <c r="J873" s="27"/>
      <c r="K873" s="27"/>
      <c r="L873" s="27"/>
      <c r="M873" s="27"/>
      <c r="N873" s="23"/>
      <c r="O873" s="28"/>
    </row>
    <row r="874" spans="2:15" s="22" customFormat="1" ht="45.75" customHeight="1">
      <c r="B874" s="23"/>
      <c r="C874" s="23"/>
      <c r="E874" s="24"/>
      <c r="G874" s="25"/>
      <c r="I874" s="26"/>
      <c r="J874" s="27"/>
      <c r="K874" s="27"/>
      <c r="L874" s="27"/>
      <c r="M874" s="27"/>
      <c r="N874" s="23"/>
      <c r="O874" s="28"/>
    </row>
    <row r="875" spans="2:15" s="22" customFormat="1" ht="45.75" customHeight="1">
      <c r="B875" s="23"/>
      <c r="C875" s="23"/>
      <c r="E875" s="24"/>
      <c r="G875" s="25"/>
      <c r="I875" s="26"/>
      <c r="J875" s="27"/>
      <c r="K875" s="27"/>
      <c r="L875" s="27"/>
      <c r="M875" s="27"/>
      <c r="N875" s="23"/>
      <c r="O875" s="28"/>
    </row>
    <row r="876" spans="2:15" s="22" customFormat="1" ht="45.75" customHeight="1">
      <c r="B876" s="23"/>
      <c r="C876" s="23"/>
      <c r="E876" s="24"/>
      <c r="G876" s="25"/>
      <c r="I876" s="26"/>
      <c r="J876" s="27"/>
      <c r="K876" s="27"/>
      <c r="L876" s="27"/>
      <c r="M876" s="27"/>
      <c r="N876" s="23"/>
      <c r="O876" s="28"/>
    </row>
    <row r="877" spans="2:15" s="22" customFormat="1" ht="45.75" customHeight="1">
      <c r="B877" s="23"/>
      <c r="C877" s="23"/>
      <c r="E877" s="24"/>
      <c r="G877" s="25"/>
      <c r="I877" s="26"/>
      <c r="J877" s="27"/>
      <c r="K877" s="27"/>
      <c r="L877" s="27"/>
      <c r="M877" s="27"/>
      <c r="N877" s="23"/>
      <c r="O877" s="28"/>
    </row>
    <row r="878" spans="2:15" s="22" customFormat="1" ht="45.75" customHeight="1">
      <c r="B878" s="23"/>
      <c r="C878" s="23"/>
      <c r="E878" s="24"/>
      <c r="G878" s="25"/>
      <c r="I878" s="26"/>
      <c r="J878" s="27"/>
      <c r="K878" s="27"/>
      <c r="L878" s="27"/>
      <c r="M878" s="27"/>
      <c r="N878" s="23"/>
      <c r="O878" s="28"/>
    </row>
    <row r="879" spans="2:15" s="22" customFormat="1" ht="45.75" customHeight="1">
      <c r="B879" s="23"/>
      <c r="C879" s="23"/>
      <c r="E879" s="24"/>
      <c r="G879" s="25"/>
      <c r="I879" s="26"/>
      <c r="J879" s="27"/>
      <c r="K879" s="27"/>
      <c r="L879" s="27"/>
      <c r="M879" s="27"/>
      <c r="N879" s="23"/>
      <c r="O879" s="28"/>
    </row>
    <row r="880" spans="2:15" s="22" customFormat="1" ht="45.75" customHeight="1">
      <c r="B880" s="23"/>
      <c r="C880" s="23"/>
      <c r="E880" s="24"/>
      <c r="G880" s="25"/>
      <c r="I880" s="26"/>
      <c r="J880" s="27"/>
      <c r="K880" s="27"/>
      <c r="L880" s="27"/>
      <c r="M880" s="27"/>
      <c r="N880" s="23"/>
      <c r="O880" s="28"/>
    </row>
    <row r="881" spans="2:15" s="22" customFormat="1" ht="45.75" customHeight="1">
      <c r="B881" s="23"/>
      <c r="C881" s="23"/>
      <c r="E881" s="24"/>
      <c r="G881" s="25"/>
      <c r="I881" s="26"/>
      <c r="J881" s="27"/>
      <c r="K881" s="27"/>
      <c r="L881" s="27"/>
      <c r="M881" s="27"/>
      <c r="N881" s="23"/>
      <c r="O881" s="28"/>
    </row>
    <row r="882" spans="2:15" s="22" customFormat="1" ht="45.75" customHeight="1">
      <c r="B882" s="23"/>
      <c r="C882" s="23"/>
      <c r="E882" s="24"/>
      <c r="G882" s="25"/>
      <c r="I882" s="26"/>
      <c r="J882" s="27"/>
      <c r="K882" s="27"/>
      <c r="L882" s="27"/>
      <c r="M882" s="27"/>
      <c r="N882" s="23"/>
      <c r="O882" s="28"/>
    </row>
    <row r="883" spans="2:15" s="22" customFormat="1" ht="45.75" customHeight="1">
      <c r="B883" s="23"/>
      <c r="C883" s="23"/>
      <c r="E883" s="24"/>
      <c r="G883" s="25"/>
      <c r="I883" s="26"/>
      <c r="J883" s="27"/>
      <c r="K883" s="27"/>
      <c r="L883" s="27"/>
      <c r="M883" s="27"/>
      <c r="N883" s="23"/>
      <c r="O883" s="28"/>
    </row>
    <row r="884" spans="2:15" s="22" customFormat="1" ht="45.75" customHeight="1">
      <c r="B884" s="23"/>
      <c r="C884" s="23"/>
      <c r="E884" s="24"/>
      <c r="G884" s="25"/>
      <c r="I884" s="26"/>
      <c r="J884" s="27"/>
      <c r="K884" s="27"/>
      <c r="L884" s="27"/>
      <c r="M884" s="27"/>
      <c r="N884" s="23"/>
      <c r="O884" s="28"/>
    </row>
    <row r="885" spans="2:15" s="22" customFormat="1" ht="45.75" customHeight="1">
      <c r="B885" s="23"/>
      <c r="C885" s="23"/>
      <c r="E885" s="24"/>
      <c r="G885" s="25"/>
      <c r="I885" s="26"/>
      <c r="J885" s="27"/>
      <c r="K885" s="27"/>
      <c r="L885" s="27"/>
      <c r="M885" s="27"/>
      <c r="N885" s="23"/>
      <c r="O885" s="28"/>
    </row>
    <row r="886" spans="2:15" s="22" customFormat="1" ht="45.75" customHeight="1">
      <c r="B886" s="23"/>
      <c r="C886" s="23"/>
      <c r="E886" s="24"/>
      <c r="G886" s="25"/>
      <c r="I886" s="26"/>
      <c r="J886" s="27"/>
      <c r="K886" s="27"/>
      <c r="L886" s="27"/>
      <c r="M886" s="27"/>
      <c r="N886" s="23"/>
      <c r="O886" s="28"/>
    </row>
    <row r="887" spans="2:15" s="22" customFormat="1" ht="45.75" customHeight="1">
      <c r="B887" s="23"/>
      <c r="C887" s="23"/>
      <c r="E887" s="24"/>
      <c r="G887" s="25"/>
      <c r="I887" s="26"/>
      <c r="J887" s="27"/>
      <c r="K887" s="27"/>
      <c r="L887" s="27"/>
      <c r="M887" s="27"/>
      <c r="N887" s="23"/>
      <c r="O887" s="28"/>
    </row>
    <row r="888" spans="2:15" s="22" customFormat="1" ht="45.75" customHeight="1">
      <c r="B888" s="23"/>
      <c r="C888" s="23"/>
      <c r="E888" s="24"/>
      <c r="G888" s="25"/>
      <c r="I888" s="26"/>
      <c r="J888" s="27"/>
      <c r="K888" s="27"/>
      <c r="L888" s="27"/>
      <c r="M888" s="27"/>
      <c r="N888" s="23"/>
      <c r="O888" s="28"/>
    </row>
    <row r="889" spans="2:15" s="22" customFormat="1" ht="45.75" customHeight="1">
      <c r="B889" s="23"/>
      <c r="C889" s="23"/>
      <c r="E889" s="24"/>
      <c r="G889" s="25"/>
      <c r="I889" s="26"/>
      <c r="J889" s="27"/>
      <c r="K889" s="27"/>
      <c r="L889" s="27"/>
      <c r="M889" s="27"/>
      <c r="N889" s="23"/>
      <c r="O889" s="28"/>
    </row>
    <row r="890" spans="2:15" s="22" customFormat="1" ht="45.75" customHeight="1">
      <c r="B890" s="23"/>
      <c r="C890" s="23"/>
      <c r="E890" s="24"/>
      <c r="G890" s="25"/>
      <c r="I890" s="26"/>
      <c r="J890" s="27"/>
      <c r="K890" s="27"/>
      <c r="L890" s="27"/>
      <c r="M890" s="27"/>
      <c r="N890" s="23"/>
      <c r="O890" s="28"/>
    </row>
    <row r="891" spans="2:15" s="22" customFormat="1" ht="45.75" customHeight="1">
      <c r="B891" s="23"/>
      <c r="C891" s="23"/>
      <c r="E891" s="24"/>
      <c r="G891" s="25"/>
      <c r="I891" s="26"/>
      <c r="J891" s="27"/>
      <c r="K891" s="27"/>
      <c r="L891" s="27"/>
      <c r="M891" s="27"/>
      <c r="N891" s="23"/>
      <c r="O891" s="28"/>
    </row>
    <row r="892" spans="2:15" s="22" customFormat="1" ht="45.75" customHeight="1">
      <c r="B892" s="23"/>
      <c r="C892" s="23"/>
      <c r="E892" s="24"/>
      <c r="G892" s="25"/>
      <c r="I892" s="26"/>
      <c r="J892" s="27"/>
      <c r="K892" s="27"/>
      <c r="L892" s="27"/>
      <c r="M892" s="27"/>
      <c r="N892" s="23"/>
      <c r="O892" s="28"/>
    </row>
    <row r="893" spans="2:15" s="22" customFormat="1" ht="45.75" customHeight="1">
      <c r="B893" s="23"/>
      <c r="C893" s="23"/>
      <c r="E893" s="24"/>
      <c r="G893" s="25"/>
      <c r="I893" s="26"/>
      <c r="J893" s="27"/>
      <c r="K893" s="27"/>
      <c r="L893" s="27"/>
      <c r="M893" s="27"/>
      <c r="N893" s="23"/>
      <c r="O893" s="28"/>
    </row>
    <row r="894" spans="2:15" s="22" customFormat="1" ht="45.75" customHeight="1">
      <c r="B894" s="23"/>
      <c r="C894" s="23"/>
      <c r="E894" s="24"/>
      <c r="G894" s="25"/>
      <c r="I894" s="26"/>
      <c r="J894" s="27"/>
      <c r="K894" s="27"/>
      <c r="L894" s="27"/>
      <c r="M894" s="27"/>
      <c r="N894" s="23"/>
      <c r="O894" s="28"/>
    </row>
    <row r="895" spans="2:15" s="22" customFormat="1" ht="45.75" customHeight="1">
      <c r="B895" s="23"/>
      <c r="C895" s="23"/>
      <c r="E895" s="24"/>
      <c r="G895" s="25"/>
      <c r="I895" s="26"/>
      <c r="J895" s="27"/>
      <c r="K895" s="27"/>
      <c r="L895" s="27"/>
      <c r="M895" s="27"/>
      <c r="N895" s="23"/>
      <c r="O895" s="28"/>
    </row>
    <row r="896" spans="2:15" s="22" customFormat="1" ht="45.75" customHeight="1">
      <c r="B896" s="23"/>
      <c r="C896" s="23"/>
      <c r="E896" s="24"/>
      <c r="G896" s="25"/>
      <c r="I896" s="26"/>
      <c r="J896" s="27"/>
      <c r="K896" s="27"/>
      <c r="L896" s="27"/>
      <c r="M896" s="27"/>
      <c r="N896" s="23"/>
      <c r="O896" s="28"/>
    </row>
    <row r="897" spans="2:15" s="22" customFormat="1" ht="45.75" customHeight="1">
      <c r="B897" s="23"/>
      <c r="C897" s="23"/>
      <c r="E897" s="24"/>
      <c r="G897" s="25"/>
      <c r="I897" s="26"/>
      <c r="J897" s="27"/>
      <c r="K897" s="27"/>
      <c r="L897" s="27"/>
      <c r="M897" s="27"/>
      <c r="N897" s="23"/>
      <c r="O897" s="28"/>
    </row>
    <row r="898" spans="2:15" s="22" customFormat="1" ht="45.75" customHeight="1">
      <c r="B898" s="23"/>
      <c r="C898" s="23"/>
      <c r="E898" s="24"/>
      <c r="G898" s="25"/>
      <c r="I898" s="26"/>
      <c r="J898" s="27"/>
      <c r="K898" s="27"/>
      <c r="L898" s="27"/>
      <c r="M898" s="27"/>
      <c r="N898" s="23"/>
      <c r="O898" s="28"/>
    </row>
    <row r="899" spans="2:15" s="22" customFormat="1" ht="45.75" customHeight="1">
      <c r="B899" s="23"/>
      <c r="C899" s="23"/>
      <c r="E899" s="24"/>
      <c r="G899" s="25"/>
      <c r="I899" s="26"/>
      <c r="J899" s="27"/>
      <c r="K899" s="27"/>
      <c r="L899" s="27"/>
      <c r="M899" s="27"/>
      <c r="N899" s="23"/>
      <c r="O899" s="28"/>
    </row>
    <row r="900" spans="2:15" s="22" customFormat="1" ht="45.75" customHeight="1">
      <c r="B900" s="23"/>
      <c r="C900" s="23"/>
      <c r="E900" s="24"/>
      <c r="G900" s="25"/>
      <c r="I900" s="26"/>
      <c r="J900" s="27"/>
      <c r="K900" s="27"/>
      <c r="L900" s="27"/>
      <c r="M900" s="27"/>
      <c r="N900" s="23"/>
      <c r="O900" s="28"/>
    </row>
    <row r="901" spans="2:15" s="22" customFormat="1" ht="45.75" customHeight="1">
      <c r="B901" s="23"/>
      <c r="C901" s="23"/>
      <c r="E901" s="24"/>
      <c r="G901" s="25"/>
      <c r="I901" s="26"/>
      <c r="J901" s="27"/>
      <c r="K901" s="27"/>
      <c r="L901" s="27"/>
      <c r="M901" s="27"/>
      <c r="N901" s="23"/>
      <c r="O901" s="28"/>
    </row>
    <row r="902" spans="2:15" s="22" customFormat="1" ht="45.75" customHeight="1">
      <c r="B902" s="23"/>
      <c r="C902" s="23"/>
      <c r="E902" s="24"/>
      <c r="G902" s="25"/>
      <c r="I902" s="26"/>
      <c r="J902" s="27"/>
      <c r="K902" s="27"/>
      <c r="L902" s="27"/>
      <c r="M902" s="27"/>
      <c r="N902" s="23"/>
      <c r="O902" s="28"/>
    </row>
    <row r="903" spans="2:15" s="22" customFormat="1" ht="45.75" customHeight="1">
      <c r="B903" s="23"/>
      <c r="C903" s="23"/>
      <c r="E903" s="24"/>
      <c r="G903" s="25"/>
      <c r="I903" s="26"/>
      <c r="J903" s="27"/>
      <c r="K903" s="27"/>
      <c r="L903" s="27"/>
      <c r="M903" s="27"/>
      <c r="N903" s="23"/>
      <c r="O903" s="28"/>
    </row>
    <row r="904" spans="2:15" s="22" customFormat="1" ht="45.75" customHeight="1">
      <c r="B904" s="23"/>
      <c r="C904" s="23"/>
      <c r="E904" s="24"/>
      <c r="G904" s="25"/>
      <c r="I904" s="26"/>
      <c r="J904" s="27"/>
      <c r="K904" s="27"/>
      <c r="L904" s="27"/>
      <c r="M904" s="27"/>
      <c r="N904" s="23"/>
      <c r="O904" s="28"/>
    </row>
    <row r="905" spans="2:15" s="22" customFormat="1" ht="45.75" customHeight="1">
      <c r="B905" s="23"/>
      <c r="C905" s="23"/>
      <c r="E905" s="24"/>
      <c r="G905" s="25"/>
      <c r="I905" s="26"/>
      <c r="J905" s="27"/>
      <c r="K905" s="27"/>
      <c r="L905" s="27"/>
      <c r="M905" s="27"/>
      <c r="N905" s="23"/>
      <c r="O905" s="28"/>
    </row>
    <row r="906" spans="2:15" s="22" customFormat="1" ht="45.75" customHeight="1">
      <c r="B906" s="23"/>
      <c r="C906" s="23"/>
      <c r="E906" s="24"/>
      <c r="G906" s="25"/>
      <c r="I906" s="26"/>
      <c r="J906" s="27"/>
      <c r="K906" s="27"/>
      <c r="L906" s="27"/>
      <c r="M906" s="27"/>
      <c r="N906" s="23"/>
      <c r="O906" s="28"/>
    </row>
    <row r="907" spans="2:15" s="22" customFormat="1" ht="45.75" customHeight="1">
      <c r="B907" s="23"/>
      <c r="C907" s="23"/>
      <c r="E907" s="24"/>
      <c r="G907" s="25"/>
      <c r="I907" s="26"/>
      <c r="J907" s="27"/>
      <c r="K907" s="27"/>
      <c r="L907" s="27"/>
      <c r="M907" s="27"/>
      <c r="N907" s="23"/>
      <c r="O907" s="28"/>
    </row>
    <row r="908" spans="2:15" s="22" customFormat="1" ht="45.75" customHeight="1">
      <c r="B908" s="23"/>
      <c r="C908" s="23"/>
      <c r="E908" s="24"/>
      <c r="G908" s="25"/>
      <c r="I908" s="26"/>
      <c r="J908" s="27"/>
      <c r="K908" s="27"/>
      <c r="L908" s="27"/>
      <c r="M908" s="27"/>
      <c r="N908" s="23"/>
      <c r="O908" s="28"/>
    </row>
    <row r="909" spans="2:15" s="22" customFormat="1" ht="45.75" customHeight="1">
      <c r="B909" s="23"/>
      <c r="C909" s="23"/>
      <c r="E909" s="24"/>
      <c r="G909" s="25"/>
      <c r="I909" s="26"/>
      <c r="J909" s="27"/>
      <c r="K909" s="27"/>
      <c r="L909" s="27"/>
      <c r="M909" s="27"/>
      <c r="N909" s="23"/>
      <c r="O909" s="28"/>
    </row>
    <row r="910" spans="2:15" s="22" customFormat="1" ht="45.75" customHeight="1">
      <c r="B910" s="23"/>
      <c r="C910" s="23"/>
      <c r="E910" s="24"/>
      <c r="G910" s="25"/>
      <c r="I910" s="26"/>
      <c r="J910" s="27"/>
      <c r="K910" s="27"/>
      <c r="L910" s="27"/>
      <c r="M910" s="27"/>
      <c r="N910" s="23"/>
      <c r="O910" s="28"/>
    </row>
    <row r="911" spans="2:15" s="22" customFormat="1" ht="45.75" customHeight="1">
      <c r="B911" s="23"/>
      <c r="C911" s="23"/>
      <c r="E911" s="24"/>
      <c r="G911" s="25"/>
      <c r="I911" s="26"/>
      <c r="J911" s="27"/>
      <c r="K911" s="27"/>
      <c r="L911" s="27"/>
      <c r="M911" s="27"/>
      <c r="N911" s="23"/>
      <c r="O911" s="28"/>
    </row>
    <row r="912" spans="2:15" s="22" customFormat="1" ht="45.75" customHeight="1">
      <c r="B912" s="23"/>
      <c r="C912" s="23"/>
      <c r="E912" s="24"/>
      <c r="G912" s="25"/>
      <c r="I912" s="26"/>
      <c r="J912" s="27"/>
      <c r="K912" s="27"/>
      <c r="L912" s="27"/>
      <c r="M912" s="27"/>
      <c r="N912" s="23"/>
      <c r="O912" s="28"/>
    </row>
    <row r="913" spans="2:15" s="22" customFormat="1" ht="45.75" customHeight="1">
      <c r="B913" s="23"/>
      <c r="C913" s="23"/>
      <c r="E913" s="24"/>
      <c r="G913" s="25"/>
      <c r="I913" s="26"/>
      <c r="J913" s="27"/>
      <c r="K913" s="27"/>
      <c r="L913" s="27"/>
      <c r="M913" s="27"/>
      <c r="N913" s="23"/>
      <c r="O913" s="28"/>
    </row>
    <row r="914" spans="2:15" s="22" customFormat="1" ht="45.75" customHeight="1">
      <c r="B914" s="23"/>
      <c r="C914" s="23"/>
      <c r="E914" s="24"/>
      <c r="G914" s="25"/>
      <c r="I914" s="26"/>
      <c r="J914" s="27"/>
      <c r="K914" s="27"/>
      <c r="L914" s="27"/>
      <c r="M914" s="27"/>
      <c r="N914" s="23"/>
      <c r="O914" s="28"/>
    </row>
    <row r="915" spans="2:15" s="22" customFormat="1" ht="45.75" customHeight="1">
      <c r="B915" s="23"/>
      <c r="C915" s="23"/>
      <c r="E915" s="24"/>
      <c r="G915" s="25"/>
      <c r="I915" s="26"/>
      <c r="J915" s="27"/>
      <c r="K915" s="27"/>
      <c r="L915" s="27"/>
      <c r="M915" s="27"/>
      <c r="N915" s="23"/>
      <c r="O915" s="28"/>
    </row>
    <row r="916" spans="2:15" s="22" customFormat="1" ht="45.75" customHeight="1">
      <c r="B916" s="23"/>
      <c r="C916" s="23"/>
      <c r="E916" s="24"/>
      <c r="G916" s="25"/>
      <c r="I916" s="26"/>
      <c r="J916" s="27"/>
      <c r="K916" s="27"/>
      <c r="L916" s="27"/>
      <c r="M916" s="27"/>
      <c r="N916" s="23"/>
      <c r="O916" s="28"/>
    </row>
    <row r="917" spans="2:15" s="22" customFormat="1" ht="45.75" customHeight="1">
      <c r="B917" s="23"/>
      <c r="C917" s="23"/>
      <c r="E917" s="24"/>
      <c r="G917" s="25"/>
      <c r="I917" s="26"/>
      <c r="J917" s="27"/>
      <c r="K917" s="27"/>
      <c r="L917" s="27"/>
      <c r="M917" s="27"/>
      <c r="N917" s="23"/>
      <c r="O917" s="28"/>
    </row>
    <row r="918" spans="2:15" s="22" customFormat="1" ht="45.75" customHeight="1">
      <c r="B918" s="23"/>
      <c r="C918" s="23"/>
      <c r="E918" s="24"/>
      <c r="G918" s="25"/>
      <c r="I918" s="26"/>
      <c r="J918" s="27"/>
      <c r="K918" s="27"/>
      <c r="L918" s="27"/>
      <c r="M918" s="27"/>
      <c r="N918" s="23"/>
      <c r="O918" s="28"/>
    </row>
    <row r="919" spans="2:15" s="22" customFormat="1" ht="45.75" customHeight="1">
      <c r="B919" s="23"/>
      <c r="C919" s="23"/>
      <c r="E919" s="24"/>
      <c r="G919" s="25"/>
      <c r="I919" s="26"/>
      <c r="J919" s="27"/>
      <c r="K919" s="27"/>
      <c r="L919" s="27"/>
      <c r="M919" s="27"/>
      <c r="N919" s="23"/>
      <c r="O919" s="28"/>
    </row>
    <row r="920" spans="2:15" s="22" customFormat="1" ht="45.75" customHeight="1">
      <c r="B920" s="23"/>
      <c r="C920" s="23"/>
      <c r="E920" s="24"/>
      <c r="G920" s="25"/>
      <c r="I920" s="26"/>
      <c r="J920" s="27"/>
      <c r="K920" s="27"/>
      <c r="L920" s="27"/>
      <c r="M920" s="27"/>
      <c r="N920" s="23"/>
      <c r="O920" s="28"/>
    </row>
    <row r="921" spans="2:15" s="22" customFormat="1" ht="45.75" customHeight="1">
      <c r="B921" s="23"/>
      <c r="C921" s="23"/>
      <c r="E921" s="24"/>
      <c r="G921" s="25"/>
      <c r="I921" s="26"/>
      <c r="J921" s="27"/>
      <c r="K921" s="27"/>
      <c r="L921" s="27"/>
      <c r="M921" s="27"/>
      <c r="N921" s="23"/>
      <c r="O921" s="28"/>
    </row>
    <row r="922" spans="2:15" s="22" customFormat="1" ht="45.75" customHeight="1">
      <c r="B922" s="23"/>
      <c r="C922" s="23"/>
      <c r="E922" s="24"/>
      <c r="G922" s="25"/>
      <c r="I922" s="26"/>
      <c r="J922" s="27"/>
      <c r="K922" s="27"/>
      <c r="L922" s="27"/>
      <c r="M922" s="27"/>
      <c r="N922" s="23"/>
      <c r="O922" s="28"/>
    </row>
    <row r="923" spans="2:15" s="22" customFormat="1" ht="45.75" customHeight="1">
      <c r="B923" s="23"/>
      <c r="C923" s="23"/>
      <c r="E923" s="24"/>
      <c r="G923" s="25"/>
      <c r="I923" s="26"/>
      <c r="J923" s="27"/>
      <c r="K923" s="27"/>
      <c r="L923" s="27"/>
      <c r="M923" s="27"/>
      <c r="N923" s="23"/>
      <c r="O923" s="28"/>
    </row>
    <row r="924" spans="2:15" s="22" customFormat="1" ht="45.75" customHeight="1">
      <c r="B924" s="23"/>
      <c r="C924" s="23"/>
      <c r="E924" s="24"/>
      <c r="G924" s="25"/>
      <c r="I924" s="26"/>
      <c r="J924" s="27"/>
      <c r="K924" s="27"/>
      <c r="L924" s="27"/>
      <c r="M924" s="27"/>
      <c r="N924" s="23"/>
      <c r="O924" s="28"/>
    </row>
    <row r="925" spans="2:15" s="22" customFormat="1" ht="45.75" customHeight="1">
      <c r="B925" s="23"/>
      <c r="C925" s="23"/>
      <c r="E925" s="24"/>
      <c r="G925" s="25"/>
      <c r="I925" s="26"/>
      <c r="J925" s="27"/>
      <c r="K925" s="27"/>
      <c r="L925" s="27"/>
      <c r="M925" s="27"/>
      <c r="N925" s="23"/>
      <c r="O925" s="28"/>
    </row>
    <row r="926" spans="2:15" s="22" customFormat="1" ht="45.75" customHeight="1">
      <c r="B926" s="23"/>
      <c r="C926" s="23"/>
      <c r="E926" s="24"/>
      <c r="G926" s="25"/>
      <c r="I926" s="26"/>
      <c r="J926" s="27"/>
      <c r="K926" s="27"/>
      <c r="L926" s="27"/>
      <c r="M926" s="27"/>
      <c r="N926" s="23"/>
      <c r="O926" s="28"/>
    </row>
    <row r="927" spans="2:15" s="22" customFormat="1" ht="45.75" customHeight="1">
      <c r="B927" s="23"/>
      <c r="C927" s="23"/>
      <c r="E927" s="24"/>
      <c r="G927" s="25"/>
      <c r="I927" s="26"/>
      <c r="J927" s="27"/>
      <c r="K927" s="27"/>
      <c r="L927" s="27"/>
      <c r="M927" s="27"/>
      <c r="N927" s="23"/>
      <c r="O927" s="28"/>
    </row>
    <row r="928" spans="2:15" s="22" customFormat="1" ht="45.75" customHeight="1">
      <c r="B928" s="23"/>
      <c r="C928" s="23"/>
      <c r="E928" s="24"/>
      <c r="G928" s="25"/>
      <c r="I928" s="26"/>
      <c r="J928" s="27"/>
      <c r="K928" s="27"/>
      <c r="L928" s="27"/>
      <c r="M928" s="27"/>
      <c r="N928" s="23"/>
      <c r="O928" s="28"/>
    </row>
    <row r="929" spans="2:15" s="22" customFormat="1" ht="45.75" customHeight="1">
      <c r="B929" s="23"/>
      <c r="C929" s="23"/>
      <c r="E929" s="24"/>
      <c r="G929" s="25"/>
      <c r="I929" s="26"/>
      <c r="J929" s="27"/>
      <c r="K929" s="27"/>
      <c r="L929" s="27"/>
      <c r="M929" s="27"/>
      <c r="N929" s="23"/>
      <c r="O929" s="28"/>
    </row>
    <row r="930" spans="2:15" s="22" customFormat="1" ht="45.75" customHeight="1">
      <c r="B930" s="23"/>
      <c r="C930" s="23"/>
      <c r="E930" s="24"/>
      <c r="G930" s="25"/>
      <c r="I930" s="26"/>
      <c r="J930" s="27"/>
      <c r="K930" s="27"/>
      <c r="L930" s="27"/>
      <c r="M930" s="27"/>
      <c r="N930" s="23"/>
      <c r="O930" s="28"/>
    </row>
    <row r="931" spans="2:15" s="22" customFormat="1" ht="45.75" customHeight="1">
      <c r="B931" s="23"/>
      <c r="C931" s="23"/>
      <c r="E931" s="24"/>
      <c r="G931" s="25"/>
      <c r="I931" s="26"/>
      <c r="J931" s="27"/>
      <c r="K931" s="27"/>
      <c r="L931" s="27"/>
      <c r="M931" s="27"/>
      <c r="N931" s="23"/>
      <c r="O931" s="28"/>
    </row>
    <row r="932" spans="2:15" s="22" customFormat="1" ht="45.75" customHeight="1">
      <c r="B932" s="23"/>
      <c r="C932" s="23"/>
      <c r="E932" s="24"/>
      <c r="G932" s="25"/>
      <c r="I932" s="26"/>
      <c r="J932" s="27"/>
      <c r="K932" s="27"/>
      <c r="L932" s="27"/>
      <c r="M932" s="27"/>
      <c r="N932" s="23"/>
      <c r="O932" s="28"/>
    </row>
    <row r="933" spans="2:15" s="22" customFormat="1" ht="45.75" customHeight="1">
      <c r="B933" s="23"/>
      <c r="C933" s="23"/>
      <c r="E933" s="24"/>
      <c r="G933" s="25"/>
      <c r="I933" s="26"/>
      <c r="J933" s="27"/>
      <c r="K933" s="27"/>
      <c r="L933" s="27"/>
      <c r="M933" s="27"/>
      <c r="N933" s="23"/>
      <c r="O933" s="28"/>
    </row>
    <row r="934" spans="2:15" s="22" customFormat="1" ht="45.75" customHeight="1">
      <c r="B934" s="23"/>
      <c r="C934" s="23"/>
      <c r="E934" s="24"/>
      <c r="G934" s="25"/>
      <c r="I934" s="26"/>
      <c r="J934" s="27"/>
      <c r="K934" s="27"/>
      <c r="L934" s="27"/>
      <c r="M934" s="27"/>
      <c r="N934" s="23"/>
      <c r="O934" s="28"/>
    </row>
    <row r="935" spans="2:15" s="22" customFormat="1" ht="45.75" customHeight="1">
      <c r="B935" s="23"/>
      <c r="C935" s="23"/>
      <c r="E935" s="24"/>
      <c r="G935" s="25"/>
      <c r="I935" s="26"/>
      <c r="J935" s="27"/>
      <c r="K935" s="27"/>
      <c r="L935" s="27"/>
      <c r="M935" s="27"/>
      <c r="N935" s="23"/>
      <c r="O935" s="28"/>
    </row>
    <row r="936" spans="2:15" s="22" customFormat="1" ht="45.75" customHeight="1">
      <c r="B936" s="23"/>
      <c r="C936" s="23"/>
      <c r="E936" s="24"/>
      <c r="G936" s="25"/>
      <c r="I936" s="26"/>
      <c r="J936" s="27"/>
      <c r="K936" s="27"/>
      <c r="L936" s="27"/>
      <c r="M936" s="27"/>
      <c r="N936" s="23"/>
      <c r="O936" s="28"/>
    </row>
    <row r="937" spans="2:15" s="22" customFormat="1" ht="45.75" customHeight="1">
      <c r="B937" s="23"/>
      <c r="C937" s="23"/>
      <c r="E937" s="24"/>
      <c r="G937" s="25"/>
      <c r="I937" s="26"/>
      <c r="J937" s="27"/>
      <c r="K937" s="27"/>
      <c r="L937" s="27"/>
      <c r="M937" s="27"/>
      <c r="N937" s="23"/>
      <c r="O937" s="28"/>
    </row>
    <row r="938" spans="2:15" s="22" customFormat="1" ht="45.75" customHeight="1">
      <c r="B938" s="23"/>
      <c r="C938" s="23"/>
      <c r="E938" s="24"/>
      <c r="G938" s="25"/>
      <c r="I938" s="26"/>
      <c r="J938" s="27"/>
      <c r="K938" s="27"/>
      <c r="L938" s="27"/>
      <c r="M938" s="27"/>
      <c r="N938" s="23"/>
      <c r="O938" s="28"/>
    </row>
    <row r="939" spans="2:15" s="22" customFormat="1" ht="45.75" customHeight="1">
      <c r="B939" s="23"/>
      <c r="C939" s="23"/>
      <c r="E939" s="24"/>
      <c r="G939" s="25"/>
      <c r="I939" s="26"/>
      <c r="J939" s="27"/>
      <c r="K939" s="27"/>
      <c r="L939" s="27"/>
      <c r="M939" s="27"/>
      <c r="N939" s="23"/>
      <c r="O939" s="28"/>
    </row>
    <row r="940" spans="2:15" s="22" customFormat="1" ht="45.75" customHeight="1">
      <c r="B940" s="23"/>
      <c r="C940" s="23"/>
      <c r="E940" s="24"/>
      <c r="G940" s="25"/>
      <c r="I940" s="26"/>
      <c r="J940" s="27"/>
      <c r="K940" s="27"/>
      <c r="L940" s="27"/>
      <c r="M940" s="27"/>
      <c r="N940" s="23"/>
      <c r="O940" s="28"/>
    </row>
    <row r="941" spans="2:15" s="22" customFormat="1" ht="45.75" customHeight="1">
      <c r="B941" s="23"/>
      <c r="C941" s="23"/>
      <c r="E941" s="24"/>
      <c r="G941" s="25"/>
      <c r="I941" s="26"/>
      <c r="J941" s="27"/>
      <c r="K941" s="27"/>
      <c r="L941" s="27"/>
      <c r="M941" s="27"/>
      <c r="N941" s="23"/>
      <c r="O941" s="28"/>
    </row>
    <row r="942" spans="2:15" s="22" customFormat="1" ht="45.75" customHeight="1">
      <c r="B942" s="23"/>
      <c r="C942" s="23"/>
      <c r="E942" s="24"/>
      <c r="G942" s="25"/>
      <c r="I942" s="26"/>
      <c r="J942" s="27"/>
      <c r="K942" s="27"/>
      <c r="L942" s="27"/>
      <c r="M942" s="27"/>
      <c r="N942" s="23"/>
      <c r="O942" s="28"/>
    </row>
    <row r="943" spans="2:15" s="22" customFormat="1" ht="45.75" customHeight="1">
      <c r="B943" s="23"/>
      <c r="C943" s="23"/>
      <c r="E943" s="24"/>
      <c r="G943" s="25"/>
      <c r="I943" s="26"/>
      <c r="J943" s="27"/>
      <c r="K943" s="27"/>
      <c r="L943" s="27"/>
      <c r="M943" s="27"/>
      <c r="N943" s="23"/>
      <c r="O943" s="28"/>
    </row>
    <row r="944" spans="2:15" s="22" customFormat="1" ht="45.75" customHeight="1">
      <c r="B944" s="23"/>
      <c r="C944" s="23"/>
      <c r="E944" s="24"/>
      <c r="G944" s="25"/>
      <c r="I944" s="26"/>
      <c r="J944" s="27"/>
      <c r="K944" s="27"/>
      <c r="L944" s="27"/>
      <c r="M944" s="27"/>
      <c r="N944" s="23"/>
      <c r="O944" s="28"/>
    </row>
    <row r="945" spans="2:15" s="22" customFormat="1" ht="45.75" customHeight="1">
      <c r="B945" s="23"/>
      <c r="C945" s="23"/>
      <c r="E945" s="24"/>
      <c r="G945" s="25"/>
      <c r="I945" s="26"/>
      <c r="J945" s="27"/>
      <c r="K945" s="27"/>
      <c r="L945" s="27"/>
      <c r="M945" s="27"/>
      <c r="N945" s="23"/>
      <c r="O945" s="28"/>
    </row>
    <row r="946" spans="2:15" s="22" customFormat="1" ht="45.75" customHeight="1">
      <c r="B946" s="23"/>
      <c r="C946" s="23"/>
      <c r="E946" s="24"/>
      <c r="G946" s="25"/>
      <c r="I946" s="26"/>
      <c r="J946" s="27"/>
      <c r="K946" s="27"/>
      <c r="L946" s="27"/>
      <c r="M946" s="27"/>
      <c r="N946" s="23"/>
      <c r="O946" s="28"/>
    </row>
    <row r="947" spans="2:15" s="22" customFormat="1" ht="45.75" customHeight="1">
      <c r="B947" s="23"/>
      <c r="C947" s="23"/>
      <c r="E947" s="24"/>
      <c r="G947" s="25"/>
      <c r="I947" s="26"/>
      <c r="J947" s="27"/>
      <c r="K947" s="27"/>
      <c r="L947" s="27"/>
      <c r="M947" s="27"/>
      <c r="N947" s="23"/>
      <c r="O947" s="28"/>
    </row>
    <row r="948" spans="2:15" s="22" customFormat="1" ht="45.75" customHeight="1">
      <c r="B948" s="23"/>
      <c r="C948" s="23"/>
      <c r="E948" s="24"/>
      <c r="G948" s="25"/>
      <c r="I948" s="26"/>
      <c r="J948" s="27"/>
      <c r="K948" s="27"/>
      <c r="L948" s="27"/>
      <c r="M948" s="27"/>
      <c r="N948" s="23"/>
      <c r="O948" s="28"/>
    </row>
    <row r="949" spans="2:15" s="22" customFormat="1" ht="45.75" customHeight="1">
      <c r="B949" s="23"/>
      <c r="C949" s="23"/>
      <c r="E949" s="24"/>
      <c r="G949" s="25"/>
      <c r="I949" s="26"/>
      <c r="J949" s="27"/>
      <c r="K949" s="27"/>
      <c r="L949" s="27"/>
      <c r="M949" s="27"/>
      <c r="N949" s="23"/>
      <c r="O949" s="28"/>
    </row>
    <row r="950" spans="2:15" s="22" customFormat="1" ht="45.75" customHeight="1">
      <c r="B950" s="23"/>
      <c r="C950" s="23"/>
      <c r="E950" s="24"/>
      <c r="G950" s="25"/>
      <c r="I950" s="26"/>
      <c r="J950" s="27"/>
      <c r="K950" s="27"/>
      <c r="L950" s="27"/>
      <c r="M950" s="27"/>
      <c r="N950" s="23"/>
      <c r="O950" s="28"/>
    </row>
    <row r="951" spans="2:15" s="22" customFormat="1" ht="45.75" customHeight="1">
      <c r="B951" s="23"/>
      <c r="C951" s="23"/>
      <c r="E951" s="24"/>
      <c r="G951" s="25"/>
      <c r="I951" s="26"/>
      <c r="J951" s="27"/>
      <c r="K951" s="27"/>
      <c r="L951" s="27"/>
      <c r="M951" s="27"/>
      <c r="N951" s="23"/>
      <c r="O951" s="28"/>
    </row>
    <row r="952" spans="2:15" s="22" customFormat="1" ht="45.75" customHeight="1">
      <c r="B952" s="23"/>
      <c r="C952" s="23"/>
      <c r="E952" s="24"/>
      <c r="G952" s="25"/>
      <c r="I952" s="26"/>
      <c r="J952" s="27"/>
      <c r="K952" s="27"/>
      <c r="L952" s="27"/>
      <c r="M952" s="27"/>
      <c r="N952" s="23"/>
      <c r="O952" s="28"/>
    </row>
    <row r="953" spans="2:15" s="22" customFormat="1" ht="45.75" customHeight="1">
      <c r="B953" s="23"/>
      <c r="C953" s="23"/>
      <c r="E953" s="24"/>
      <c r="G953" s="25"/>
      <c r="I953" s="26"/>
      <c r="J953" s="27"/>
      <c r="K953" s="27"/>
      <c r="L953" s="27"/>
      <c r="M953" s="27"/>
      <c r="N953" s="23"/>
      <c r="O953" s="28"/>
    </row>
    <row r="954" spans="2:15" s="22" customFormat="1" ht="45.75" customHeight="1">
      <c r="B954" s="23"/>
      <c r="C954" s="23"/>
      <c r="E954" s="24"/>
      <c r="G954" s="25"/>
      <c r="I954" s="26"/>
      <c r="J954" s="27"/>
      <c r="K954" s="27"/>
      <c r="L954" s="27"/>
      <c r="M954" s="27"/>
      <c r="N954" s="23"/>
      <c r="O954" s="28"/>
    </row>
    <row r="955" spans="2:15" s="22" customFormat="1" ht="45.75" customHeight="1">
      <c r="B955" s="23"/>
      <c r="C955" s="23"/>
      <c r="E955" s="24"/>
      <c r="G955" s="25"/>
      <c r="I955" s="26"/>
      <c r="J955" s="27"/>
      <c r="K955" s="27"/>
      <c r="L955" s="27"/>
      <c r="M955" s="27"/>
      <c r="N955" s="23"/>
      <c r="O955" s="28"/>
    </row>
    <row r="956" spans="2:15" s="22" customFormat="1" ht="45.75" customHeight="1">
      <c r="B956" s="23"/>
      <c r="C956" s="23"/>
      <c r="E956" s="24"/>
      <c r="G956" s="25"/>
      <c r="I956" s="26"/>
      <c r="J956" s="27"/>
      <c r="K956" s="27"/>
      <c r="L956" s="27"/>
      <c r="M956" s="27"/>
      <c r="N956" s="23"/>
      <c r="O956" s="28"/>
    </row>
    <row r="957" spans="2:15" s="22" customFormat="1" ht="45.75" customHeight="1">
      <c r="B957" s="23"/>
      <c r="C957" s="23"/>
      <c r="E957" s="24"/>
      <c r="G957" s="25"/>
      <c r="I957" s="26"/>
      <c r="J957" s="27"/>
      <c r="K957" s="27"/>
      <c r="L957" s="27"/>
      <c r="M957" s="27"/>
      <c r="N957" s="23"/>
      <c r="O957" s="28"/>
    </row>
    <row r="958" spans="2:15" s="22" customFormat="1" ht="45.75" customHeight="1">
      <c r="B958" s="23"/>
      <c r="C958" s="23"/>
      <c r="E958" s="24"/>
      <c r="G958" s="25"/>
      <c r="I958" s="26"/>
      <c r="J958" s="27"/>
      <c r="K958" s="27"/>
      <c r="L958" s="27"/>
      <c r="M958" s="27"/>
      <c r="N958" s="23"/>
      <c r="O958" s="28"/>
    </row>
    <row r="959" spans="2:15" s="22" customFormat="1" ht="45.75" customHeight="1">
      <c r="B959" s="23"/>
      <c r="C959" s="23"/>
      <c r="E959" s="24"/>
      <c r="G959" s="25"/>
      <c r="I959" s="26"/>
      <c r="J959" s="27"/>
      <c r="K959" s="27"/>
      <c r="L959" s="27"/>
      <c r="M959" s="27"/>
      <c r="N959" s="23"/>
      <c r="O959" s="28"/>
    </row>
    <row r="960" spans="2:15" s="22" customFormat="1" ht="45.75" customHeight="1">
      <c r="B960" s="23"/>
      <c r="C960" s="23"/>
      <c r="E960" s="24"/>
      <c r="G960" s="25"/>
      <c r="I960" s="26"/>
      <c r="J960" s="27"/>
      <c r="K960" s="27"/>
      <c r="L960" s="27"/>
      <c r="M960" s="27"/>
      <c r="N960" s="23"/>
      <c r="O960" s="28"/>
    </row>
    <row r="961" spans="2:15" s="22" customFormat="1" ht="45.75" customHeight="1">
      <c r="B961" s="23"/>
      <c r="C961" s="23"/>
      <c r="E961" s="24"/>
      <c r="G961" s="25"/>
      <c r="I961" s="26"/>
      <c r="J961" s="27"/>
      <c r="K961" s="27"/>
      <c r="L961" s="27"/>
      <c r="M961" s="27"/>
      <c r="N961" s="23"/>
      <c r="O961" s="28"/>
    </row>
    <row r="962" spans="2:15" s="22" customFormat="1" ht="45.75" customHeight="1">
      <c r="B962" s="23"/>
      <c r="C962" s="23"/>
      <c r="E962" s="24"/>
      <c r="G962" s="25"/>
      <c r="I962" s="26"/>
      <c r="J962" s="27"/>
      <c r="K962" s="27"/>
      <c r="L962" s="27"/>
      <c r="M962" s="27"/>
      <c r="N962" s="23"/>
      <c r="O962" s="28"/>
    </row>
    <row r="963" spans="2:15" s="22" customFormat="1" ht="45.75" customHeight="1">
      <c r="B963" s="23"/>
      <c r="C963" s="23"/>
      <c r="E963" s="24"/>
      <c r="G963" s="25"/>
      <c r="I963" s="26"/>
      <c r="J963" s="27"/>
      <c r="K963" s="27"/>
      <c r="L963" s="27"/>
      <c r="M963" s="27"/>
      <c r="N963" s="23"/>
      <c r="O963" s="28"/>
    </row>
    <row r="964" spans="2:15" s="22" customFormat="1" ht="45.75" customHeight="1">
      <c r="B964" s="23"/>
      <c r="C964" s="23"/>
      <c r="E964" s="24"/>
      <c r="G964" s="25"/>
      <c r="I964" s="26"/>
      <c r="J964" s="27"/>
      <c r="K964" s="27"/>
      <c r="L964" s="27"/>
      <c r="M964" s="27"/>
      <c r="N964" s="23"/>
      <c r="O964" s="28"/>
    </row>
    <row r="965" spans="2:15" s="22" customFormat="1" ht="45.75" customHeight="1">
      <c r="B965" s="23"/>
      <c r="C965" s="23"/>
      <c r="E965" s="24"/>
      <c r="G965" s="25"/>
      <c r="I965" s="26"/>
      <c r="J965" s="27"/>
      <c r="K965" s="27"/>
      <c r="L965" s="27"/>
      <c r="M965" s="27"/>
      <c r="N965" s="23"/>
      <c r="O965" s="28"/>
    </row>
    <row r="966" spans="2:15" s="22" customFormat="1" ht="45.75" customHeight="1">
      <c r="B966" s="23"/>
      <c r="C966" s="23"/>
      <c r="E966" s="24"/>
      <c r="G966" s="25"/>
      <c r="I966" s="26"/>
      <c r="J966" s="27"/>
      <c r="K966" s="27"/>
      <c r="L966" s="27"/>
      <c r="M966" s="27"/>
      <c r="N966" s="23"/>
      <c r="O966" s="28"/>
    </row>
    <row r="967" spans="2:15" s="22" customFormat="1" ht="45.75" customHeight="1">
      <c r="B967" s="23"/>
      <c r="C967" s="23"/>
      <c r="E967" s="24"/>
      <c r="G967" s="25"/>
      <c r="I967" s="26"/>
      <c r="J967" s="27"/>
      <c r="K967" s="27"/>
      <c r="L967" s="27"/>
      <c r="M967" s="27"/>
      <c r="N967" s="23"/>
      <c r="O967" s="28"/>
    </row>
    <row r="968" spans="2:15" s="22" customFormat="1" ht="45.75" customHeight="1">
      <c r="B968" s="23"/>
      <c r="C968" s="23"/>
      <c r="E968" s="24"/>
      <c r="G968" s="25"/>
      <c r="I968" s="26"/>
      <c r="J968" s="27"/>
      <c r="K968" s="27"/>
      <c r="L968" s="27"/>
      <c r="M968" s="27"/>
      <c r="N968" s="23"/>
      <c r="O968" s="28"/>
    </row>
    <row r="969" spans="2:15" s="22" customFormat="1" ht="45.75" customHeight="1">
      <c r="B969" s="23"/>
      <c r="C969" s="23"/>
      <c r="E969" s="24"/>
      <c r="G969" s="25"/>
      <c r="I969" s="26"/>
      <c r="J969" s="27"/>
      <c r="K969" s="27"/>
      <c r="L969" s="27"/>
      <c r="M969" s="27"/>
      <c r="N969" s="23"/>
      <c r="O969" s="28"/>
    </row>
    <row r="970" spans="2:15" s="22" customFormat="1" ht="45.75" customHeight="1">
      <c r="B970" s="23"/>
      <c r="C970" s="23"/>
      <c r="E970" s="24"/>
      <c r="G970" s="25"/>
      <c r="I970" s="26"/>
      <c r="J970" s="27"/>
      <c r="K970" s="27"/>
      <c r="L970" s="27"/>
      <c r="M970" s="27"/>
      <c r="N970" s="23"/>
      <c r="O970" s="28"/>
    </row>
    <row r="971" spans="2:15" s="22" customFormat="1" ht="45.75" customHeight="1">
      <c r="B971" s="23"/>
      <c r="C971" s="23"/>
      <c r="E971" s="24"/>
      <c r="G971" s="25"/>
      <c r="I971" s="26"/>
      <c r="J971" s="27"/>
      <c r="K971" s="27"/>
      <c r="L971" s="27"/>
      <c r="M971" s="27"/>
      <c r="N971" s="23"/>
      <c r="O971" s="28"/>
    </row>
    <row r="972" spans="2:15" s="22" customFormat="1" ht="45.75" customHeight="1">
      <c r="B972" s="23"/>
      <c r="C972" s="23"/>
      <c r="E972" s="24"/>
      <c r="G972" s="25"/>
      <c r="I972" s="26"/>
      <c r="J972" s="27"/>
      <c r="K972" s="27"/>
      <c r="L972" s="27"/>
      <c r="M972" s="27"/>
      <c r="N972" s="23"/>
      <c r="O972" s="28"/>
    </row>
    <row r="973" spans="2:15" s="22" customFormat="1" ht="45.75" customHeight="1">
      <c r="B973" s="23"/>
      <c r="C973" s="23"/>
      <c r="E973" s="24"/>
      <c r="G973" s="25"/>
      <c r="I973" s="26"/>
      <c r="J973" s="27"/>
      <c r="K973" s="27"/>
      <c r="L973" s="27"/>
      <c r="M973" s="27"/>
      <c r="N973" s="23"/>
      <c r="O973" s="28"/>
    </row>
    <row r="974" spans="2:15" s="22" customFormat="1" ht="45.75" customHeight="1">
      <c r="B974" s="23"/>
      <c r="C974" s="23"/>
      <c r="E974" s="24"/>
      <c r="G974" s="25"/>
      <c r="I974" s="26"/>
      <c r="J974" s="27"/>
      <c r="K974" s="27"/>
      <c r="L974" s="27"/>
      <c r="M974" s="27"/>
      <c r="N974" s="23"/>
      <c r="O974" s="28"/>
    </row>
    <row r="975" spans="2:15" s="22" customFormat="1" ht="45.75" customHeight="1">
      <c r="B975" s="23"/>
      <c r="C975" s="23"/>
      <c r="E975" s="24"/>
      <c r="G975" s="25"/>
      <c r="I975" s="26"/>
      <c r="J975" s="27"/>
      <c r="K975" s="27"/>
      <c r="L975" s="27"/>
      <c r="M975" s="27"/>
      <c r="N975" s="23"/>
      <c r="O975" s="28"/>
    </row>
    <row r="976" spans="2:15" s="22" customFormat="1" ht="45.75" customHeight="1">
      <c r="B976" s="23"/>
      <c r="C976" s="23"/>
      <c r="E976" s="24"/>
      <c r="G976" s="25"/>
      <c r="I976" s="26"/>
      <c r="J976" s="27"/>
      <c r="K976" s="27"/>
      <c r="L976" s="27"/>
      <c r="M976" s="27"/>
      <c r="N976" s="23"/>
      <c r="O976" s="28"/>
    </row>
    <row r="977" spans="2:15" s="22" customFormat="1" ht="45.75" customHeight="1">
      <c r="B977" s="23"/>
      <c r="C977" s="23"/>
      <c r="E977" s="24"/>
      <c r="G977" s="25"/>
      <c r="I977" s="26"/>
      <c r="J977" s="27"/>
      <c r="K977" s="27"/>
      <c r="L977" s="27"/>
      <c r="M977" s="27"/>
      <c r="N977" s="23"/>
      <c r="O977" s="28"/>
    </row>
    <row r="978" spans="2:15" s="22" customFormat="1" ht="45.75" customHeight="1">
      <c r="B978" s="23"/>
      <c r="C978" s="23"/>
      <c r="E978" s="24"/>
      <c r="G978" s="25"/>
      <c r="I978" s="26"/>
      <c r="J978" s="27"/>
      <c r="K978" s="27"/>
      <c r="L978" s="27"/>
      <c r="M978" s="27"/>
      <c r="N978" s="23"/>
      <c r="O978" s="28"/>
    </row>
    <row r="979" spans="2:15" s="22" customFormat="1" ht="45.75" customHeight="1">
      <c r="B979" s="23"/>
      <c r="C979" s="23"/>
      <c r="E979" s="24"/>
      <c r="G979" s="25"/>
      <c r="I979" s="26"/>
      <c r="J979" s="27"/>
      <c r="K979" s="27"/>
      <c r="L979" s="27"/>
      <c r="M979" s="27"/>
      <c r="N979" s="23"/>
      <c r="O979" s="28"/>
    </row>
    <row r="980" spans="2:15" s="22" customFormat="1" ht="45.75" customHeight="1">
      <c r="B980" s="23"/>
      <c r="C980" s="23"/>
      <c r="E980" s="24"/>
      <c r="G980" s="25"/>
      <c r="I980" s="26"/>
      <c r="J980" s="27"/>
      <c r="K980" s="27"/>
      <c r="L980" s="27"/>
      <c r="M980" s="27"/>
      <c r="N980" s="23"/>
      <c r="O980" s="28"/>
    </row>
    <row r="981" spans="2:15" s="22" customFormat="1" ht="45.75" customHeight="1">
      <c r="B981" s="23"/>
      <c r="C981" s="23"/>
      <c r="E981" s="24"/>
      <c r="G981" s="25"/>
      <c r="I981" s="26"/>
      <c r="J981" s="27"/>
      <c r="K981" s="27"/>
      <c r="L981" s="27"/>
      <c r="M981" s="27"/>
      <c r="N981" s="23"/>
      <c r="O981" s="28"/>
    </row>
    <row r="982" spans="2:15" s="22" customFormat="1" ht="45.75" customHeight="1">
      <c r="B982" s="23"/>
      <c r="C982" s="23"/>
      <c r="E982" s="24"/>
      <c r="G982" s="25"/>
      <c r="I982" s="26"/>
      <c r="J982" s="27"/>
      <c r="K982" s="27"/>
      <c r="L982" s="27"/>
      <c r="M982" s="27"/>
      <c r="N982" s="23"/>
      <c r="O982" s="28"/>
    </row>
    <row r="983" spans="2:15" s="22" customFormat="1" ht="45.75" customHeight="1">
      <c r="B983" s="23"/>
      <c r="C983" s="23"/>
      <c r="E983" s="24"/>
      <c r="G983" s="25"/>
      <c r="I983" s="26"/>
      <c r="J983" s="27"/>
      <c r="K983" s="27"/>
      <c r="L983" s="27"/>
      <c r="M983" s="27"/>
      <c r="N983" s="23"/>
      <c r="O983" s="28"/>
    </row>
    <row r="984" spans="2:15" s="22" customFormat="1" ht="45.75" customHeight="1">
      <c r="B984" s="23"/>
      <c r="C984" s="23"/>
      <c r="E984" s="24"/>
      <c r="G984" s="25"/>
      <c r="I984" s="26"/>
      <c r="J984" s="27"/>
      <c r="K984" s="27"/>
      <c r="L984" s="27"/>
      <c r="M984" s="27"/>
      <c r="N984" s="23"/>
      <c r="O984" s="28"/>
    </row>
    <row r="985" spans="2:15" s="22" customFormat="1" ht="45.75" customHeight="1">
      <c r="B985" s="23"/>
      <c r="C985" s="23"/>
      <c r="E985" s="24"/>
      <c r="G985" s="25"/>
      <c r="I985" s="26"/>
      <c r="J985" s="27"/>
      <c r="K985" s="27"/>
      <c r="L985" s="27"/>
      <c r="M985" s="27"/>
      <c r="N985" s="23"/>
      <c r="O985" s="28"/>
    </row>
    <row r="986" spans="2:15" s="22" customFormat="1" ht="45.75" customHeight="1">
      <c r="B986" s="23"/>
      <c r="C986" s="23"/>
      <c r="E986" s="24"/>
      <c r="G986" s="25"/>
      <c r="I986" s="26"/>
      <c r="J986" s="27"/>
      <c r="K986" s="27"/>
      <c r="L986" s="27"/>
      <c r="M986" s="27"/>
      <c r="N986" s="23"/>
      <c r="O986" s="28"/>
    </row>
    <row r="987" spans="2:15" s="22" customFormat="1" ht="45.75" customHeight="1">
      <c r="B987" s="23"/>
      <c r="C987" s="23"/>
      <c r="E987" s="24"/>
      <c r="G987" s="25"/>
      <c r="I987" s="26"/>
      <c r="J987" s="27"/>
      <c r="K987" s="27"/>
      <c r="L987" s="27"/>
      <c r="M987" s="27"/>
      <c r="N987" s="23"/>
      <c r="O987" s="28"/>
    </row>
    <row r="988" spans="2:15" s="22" customFormat="1" ht="45.75" customHeight="1">
      <c r="B988" s="23"/>
      <c r="C988" s="23"/>
      <c r="E988" s="24"/>
      <c r="G988" s="25"/>
      <c r="I988" s="26"/>
      <c r="J988" s="27"/>
      <c r="K988" s="27"/>
      <c r="L988" s="27"/>
      <c r="M988" s="27"/>
      <c r="N988" s="23"/>
      <c r="O988" s="28"/>
    </row>
    <row r="989" spans="2:15" s="22" customFormat="1" ht="45.75" customHeight="1">
      <c r="B989" s="23"/>
      <c r="C989" s="23"/>
      <c r="E989" s="24"/>
      <c r="G989" s="25"/>
      <c r="I989" s="26"/>
      <c r="J989" s="27"/>
      <c r="K989" s="27"/>
      <c r="L989" s="27"/>
      <c r="M989" s="27"/>
      <c r="N989" s="23"/>
      <c r="O989" s="28"/>
    </row>
    <row r="990" spans="2:15" s="22" customFormat="1" ht="45.75" customHeight="1">
      <c r="B990" s="23"/>
      <c r="C990" s="23"/>
      <c r="E990" s="24"/>
      <c r="G990" s="25"/>
      <c r="I990" s="26"/>
      <c r="J990" s="27"/>
      <c r="K990" s="27"/>
      <c r="L990" s="27"/>
      <c r="M990" s="27"/>
      <c r="N990" s="23"/>
      <c r="O990" s="28"/>
    </row>
    <row r="991" spans="2:15" s="22" customFormat="1" ht="45.75" customHeight="1">
      <c r="B991" s="23"/>
      <c r="C991" s="23"/>
      <c r="E991" s="24"/>
      <c r="G991" s="25"/>
      <c r="I991" s="26"/>
      <c r="J991" s="27"/>
      <c r="K991" s="27"/>
      <c r="L991" s="27"/>
      <c r="M991" s="27"/>
      <c r="N991" s="23"/>
      <c r="O991" s="28"/>
    </row>
    <row r="992" spans="2:15" s="22" customFormat="1" ht="45.75" customHeight="1">
      <c r="B992" s="23"/>
      <c r="C992" s="23"/>
      <c r="E992" s="24"/>
      <c r="G992" s="25"/>
      <c r="I992" s="26"/>
      <c r="J992" s="27"/>
      <c r="K992" s="27"/>
      <c r="L992" s="27"/>
      <c r="M992" s="27"/>
      <c r="N992" s="23"/>
      <c r="O992" s="28"/>
    </row>
    <row r="993" spans="2:15" s="22" customFormat="1" ht="45.75" customHeight="1">
      <c r="B993" s="23"/>
      <c r="C993" s="23"/>
      <c r="E993" s="24"/>
      <c r="G993" s="25"/>
      <c r="I993" s="26"/>
      <c r="J993" s="27"/>
      <c r="K993" s="27"/>
      <c r="L993" s="27"/>
      <c r="M993" s="27"/>
      <c r="N993" s="23"/>
      <c r="O993" s="28"/>
    </row>
    <row r="994" spans="2:15" s="22" customFormat="1" ht="45.75" customHeight="1">
      <c r="B994" s="23"/>
      <c r="C994" s="23"/>
      <c r="E994" s="24"/>
      <c r="G994" s="25"/>
      <c r="I994" s="26"/>
      <c r="J994" s="27"/>
      <c r="K994" s="27"/>
      <c r="L994" s="27"/>
      <c r="M994" s="27"/>
      <c r="N994" s="23"/>
      <c r="O994" s="28"/>
    </row>
    <row r="995" spans="2:15" s="22" customFormat="1" ht="45.75" customHeight="1">
      <c r="B995" s="23"/>
      <c r="C995" s="23"/>
      <c r="E995" s="24"/>
      <c r="G995" s="25"/>
      <c r="I995" s="26"/>
      <c r="J995" s="27"/>
      <c r="K995" s="27"/>
      <c r="L995" s="27"/>
      <c r="M995" s="27"/>
      <c r="N995" s="23"/>
      <c r="O995" s="28"/>
    </row>
    <row r="996" spans="2:15" s="22" customFormat="1" ht="45.75" customHeight="1">
      <c r="B996" s="23"/>
      <c r="C996" s="23"/>
      <c r="E996" s="24"/>
      <c r="G996" s="25"/>
      <c r="I996" s="26"/>
      <c r="J996" s="27"/>
      <c r="K996" s="27"/>
      <c r="L996" s="27"/>
      <c r="M996" s="27"/>
      <c r="N996" s="23"/>
      <c r="O996" s="28"/>
    </row>
    <row r="997" spans="2:15" s="22" customFormat="1" ht="45.75" customHeight="1">
      <c r="B997" s="23"/>
      <c r="C997" s="23"/>
      <c r="E997" s="24"/>
      <c r="G997" s="25"/>
      <c r="I997" s="26"/>
      <c r="J997" s="27"/>
      <c r="K997" s="27"/>
      <c r="L997" s="27"/>
      <c r="M997" s="27"/>
      <c r="N997" s="23"/>
      <c r="O997" s="28"/>
    </row>
    <row r="998" spans="2:15" s="22" customFormat="1" ht="45.75" customHeight="1">
      <c r="B998" s="23"/>
      <c r="C998" s="23"/>
      <c r="E998" s="24"/>
      <c r="G998" s="25"/>
      <c r="I998" s="26"/>
      <c r="J998" s="27"/>
      <c r="K998" s="27"/>
      <c r="L998" s="27"/>
      <c r="M998" s="27"/>
      <c r="N998" s="23"/>
      <c r="O998" s="28"/>
    </row>
    <row r="999" spans="2:15" s="22" customFormat="1" ht="45.75" customHeight="1">
      <c r="B999" s="23"/>
      <c r="C999" s="23"/>
      <c r="E999" s="24"/>
      <c r="G999" s="25"/>
      <c r="I999" s="26"/>
      <c r="J999" s="27"/>
      <c r="K999" s="27"/>
      <c r="L999" s="27"/>
      <c r="M999" s="27"/>
      <c r="N999" s="23"/>
      <c r="O999" s="28"/>
    </row>
    <row r="1000" spans="2:15" s="22" customFormat="1" ht="45.75" customHeight="1">
      <c r="B1000" s="23"/>
      <c r="C1000" s="23"/>
      <c r="E1000" s="24"/>
      <c r="G1000" s="25"/>
      <c r="I1000" s="26"/>
      <c r="J1000" s="27"/>
      <c r="K1000" s="27"/>
      <c r="L1000" s="27"/>
      <c r="M1000" s="27"/>
      <c r="N1000" s="23"/>
      <c r="O1000" s="28"/>
    </row>
    <row r="1001" spans="2:15" s="22" customFormat="1" ht="45.75" customHeight="1">
      <c r="B1001" s="23"/>
      <c r="C1001" s="23"/>
      <c r="E1001" s="24"/>
      <c r="G1001" s="25"/>
      <c r="I1001" s="26"/>
      <c r="J1001" s="27"/>
      <c r="K1001" s="27"/>
      <c r="L1001" s="27"/>
      <c r="M1001" s="27"/>
      <c r="N1001" s="23"/>
      <c r="O1001" s="28"/>
    </row>
    <row r="1002" spans="2:15" s="22" customFormat="1" ht="45.75" customHeight="1">
      <c r="B1002" s="23"/>
      <c r="C1002" s="23"/>
      <c r="E1002" s="24"/>
      <c r="G1002" s="25"/>
      <c r="I1002" s="26"/>
      <c r="J1002" s="27"/>
      <c r="K1002" s="27"/>
      <c r="L1002" s="27"/>
      <c r="M1002" s="27"/>
      <c r="N1002" s="23"/>
      <c r="O1002" s="28"/>
    </row>
    <row r="1003" spans="2:15" s="22" customFormat="1" ht="45.75" customHeight="1">
      <c r="B1003" s="23"/>
      <c r="C1003" s="23"/>
      <c r="E1003" s="24"/>
      <c r="G1003" s="25"/>
      <c r="I1003" s="26"/>
      <c r="J1003" s="27"/>
      <c r="K1003" s="27"/>
      <c r="L1003" s="27"/>
      <c r="M1003" s="27"/>
      <c r="N1003" s="23"/>
      <c r="O1003" s="28"/>
    </row>
    <row r="1004" spans="2:15" s="22" customFormat="1" ht="45.75" customHeight="1">
      <c r="B1004" s="23"/>
      <c r="C1004" s="23"/>
      <c r="E1004" s="24"/>
      <c r="G1004" s="25"/>
      <c r="I1004" s="26"/>
      <c r="J1004" s="27"/>
      <c r="K1004" s="27"/>
      <c r="L1004" s="27"/>
      <c r="M1004" s="27"/>
      <c r="N1004" s="23"/>
      <c r="O1004" s="28"/>
    </row>
    <row r="1005" spans="2:15" s="22" customFormat="1" ht="45.75" customHeight="1">
      <c r="B1005" s="23"/>
      <c r="C1005" s="23"/>
      <c r="E1005" s="24"/>
      <c r="G1005" s="25"/>
      <c r="I1005" s="26"/>
      <c r="J1005" s="27"/>
      <c r="K1005" s="27"/>
      <c r="L1005" s="27"/>
      <c r="M1005" s="27"/>
      <c r="N1005" s="23"/>
      <c r="O1005" s="28"/>
    </row>
    <row r="1006" spans="2:15" s="22" customFormat="1" ht="45.75" customHeight="1">
      <c r="B1006" s="23"/>
      <c r="C1006" s="23"/>
      <c r="E1006" s="24"/>
      <c r="G1006" s="25"/>
      <c r="I1006" s="26"/>
      <c r="J1006" s="27"/>
      <c r="K1006" s="27"/>
      <c r="L1006" s="27"/>
      <c r="M1006" s="27"/>
      <c r="N1006" s="23"/>
      <c r="O1006" s="28"/>
    </row>
    <row r="1007" spans="2:15" s="22" customFormat="1" ht="45.75" customHeight="1">
      <c r="B1007" s="23"/>
      <c r="C1007" s="23"/>
      <c r="E1007" s="24"/>
      <c r="G1007" s="25"/>
      <c r="I1007" s="26"/>
      <c r="J1007" s="27"/>
      <c r="K1007" s="27"/>
      <c r="L1007" s="27"/>
      <c r="M1007" s="27"/>
      <c r="N1007" s="23"/>
      <c r="O1007" s="28"/>
    </row>
    <row r="1008" spans="2:15" s="22" customFormat="1" ht="45.75" customHeight="1">
      <c r="B1008" s="23"/>
      <c r="C1008" s="23"/>
      <c r="E1008" s="24"/>
      <c r="G1008" s="25"/>
      <c r="I1008" s="26"/>
      <c r="J1008" s="27"/>
      <c r="K1008" s="27"/>
      <c r="L1008" s="27"/>
      <c r="M1008" s="27"/>
      <c r="N1008" s="23"/>
      <c r="O1008" s="28"/>
    </row>
    <row r="1009" spans="2:15" s="22" customFormat="1" ht="45.75" customHeight="1">
      <c r="B1009" s="23"/>
      <c r="C1009" s="23"/>
      <c r="E1009" s="24"/>
      <c r="G1009" s="25"/>
      <c r="I1009" s="26"/>
      <c r="J1009" s="27"/>
      <c r="K1009" s="27"/>
      <c r="L1009" s="27"/>
      <c r="M1009" s="27"/>
      <c r="N1009" s="23"/>
      <c r="O1009" s="28"/>
    </row>
    <row r="1010" spans="2:15" s="22" customFormat="1" ht="45.75" customHeight="1">
      <c r="B1010" s="23"/>
      <c r="C1010" s="23"/>
      <c r="E1010" s="24"/>
      <c r="G1010" s="25"/>
      <c r="I1010" s="26"/>
      <c r="J1010" s="27"/>
      <c r="K1010" s="27"/>
      <c r="L1010" s="27"/>
      <c r="M1010" s="27"/>
      <c r="N1010" s="23"/>
      <c r="O1010" s="28"/>
    </row>
    <row r="1011" spans="2:15" s="22" customFormat="1" ht="45.75" customHeight="1">
      <c r="B1011" s="23"/>
      <c r="C1011" s="23"/>
      <c r="E1011" s="24"/>
      <c r="G1011" s="25"/>
      <c r="I1011" s="26"/>
      <c r="J1011" s="27"/>
      <c r="K1011" s="27"/>
      <c r="L1011" s="27"/>
      <c r="M1011" s="27"/>
      <c r="N1011" s="23"/>
      <c r="O1011" s="28"/>
    </row>
    <row r="1012" spans="2:15" s="22" customFormat="1" ht="45.75" customHeight="1">
      <c r="B1012" s="23"/>
      <c r="C1012" s="23"/>
      <c r="E1012" s="24"/>
      <c r="G1012" s="25"/>
      <c r="I1012" s="26"/>
      <c r="J1012" s="27"/>
      <c r="K1012" s="27"/>
      <c r="L1012" s="27"/>
      <c r="M1012" s="27"/>
      <c r="N1012" s="23"/>
      <c r="O1012" s="28"/>
    </row>
    <row r="1013" spans="2:15" s="22" customFormat="1" ht="45.75" customHeight="1">
      <c r="B1013" s="23"/>
      <c r="C1013" s="23"/>
      <c r="E1013" s="24"/>
      <c r="G1013" s="25"/>
      <c r="I1013" s="26"/>
      <c r="J1013" s="27"/>
      <c r="K1013" s="27"/>
      <c r="L1013" s="27"/>
      <c r="M1013" s="27"/>
      <c r="N1013" s="23"/>
      <c r="O1013" s="28"/>
    </row>
    <row r="1014" spans="2:15" s="22" customFormat="1" ht="45.75" customHeight="1">
      <c r="B1014" s="23"/>
      <c r="C1014" s="23"/>
      <c r="E1014" s="24"/>
      <c r="G1014" s="25"/>
      <c r="I1014" s="26"/>
      <c r="J1014" s="27"/>
      <c r="K1014" s="27"/>
      <c r="L1014" s="27"/>
      <c r="M1014" s="27"/>
      <c r="N1014" s="23"/>
      <c r="O1014" s="28"/>
    </row>
    <row r="1015" spans="2:15" s="22" customFormat="1" ht="45.75" customHeight="1">
      <c r="B1015" s="23"/>
      <c r="C1015" s="23"/>
      <c r="E1015" s="24"/>
      <c r="G1015" s="25"/>
      <c r="I1015" s="26"/>
      <c r="J1015" s="27"/>
      <c r="K1015" s="27"/>
      <c r="L1015" s="27"/>
      <c r="M1015" s="27"/>
      <c r="N1015" s="23"/>
      <c r="O1015" s="28"/>
    </row>
    <row r="1016" spans="2:15" s="22" customFormat="1" ht="45.75" customHeight="1">
      <c r="B1016" s="23"/>
      <c r="C1016" s="23"/>
      <c r="E1016" s="24"/>
      <c r="G1016" s="25"/>
      <c r="I1016" s="26"/>
      <c r="J1016" s="27"/>
      <c r="K1016" s="27"/>
      <c r="L1016" s="27"/>
      <c r="M1016" s="27"/>
      <c r="N1016" s="23"/>
      <c r="O1016" s="28"/>
    </row>
    <row r="1017" spans="2:15" s="22" customFormat="1" ht="45.75" customHeight="1">
      <c r="B1017" s="23"/>
      <c r="C1017" s="23"/>
      <c r="E1017" s="24"/>
      <c r="G1017" s="25"/>
      <c r="I1017" s="26"/>
      <c r="J1017" s="27"/>
      <c r="K1017" s="27"/>
      <c r="L1017" s="27"/>
      <c r="M1017" s="27"/>
      <c r="N1017" s="23"/>
      <c r="O1017" s="28"/>
    </row>
    <row r="1018" spans="2:15" s="22" customFormat="1" ht="45.75" customHeight="1">
      <c r="B1018" s="23"/>
      <c r="C1018" s="23"/>
      <c r="E1018" s="24"/>
      <c r="G1018" s="25"/>
      <c r="I1018" s="26"/>
      <c r="J1018" s="27"/>
      <c r="K1018" s="27"/>
      <c r="L1018" s="27"/>
      <c r="M1018" s="27"/>
      <c r="N1018" s="23"/>
      <c r="O1018" s="28"/>
    </row>
    <row r="1019" spans="2:15" s="22" customFormat="1" ht="45.75" customHeight="1">
      <c r="B1019" s="23"/>
      <c r="C1019" s="23"/>
      <c r="E1019" s="24"/>
      <c r="G1019" s="25"/>
      <c r="I1019" s="26"/>
      <c r="J1019" s="27"/>
      <c r="K1019" s="27"/>
      <c r="L1019" s="27"/>
      <c r="M1019" s="27"/>
      <c r="N1019" s="23"/>
      <c r="O1019" s="28"/>
    </row>
    <row r="1020" spans="2:15" s="22" customFormat="1" ht="45.75" customHeight="1">
      <c r="B1020" s="23"/>
      <c r="C1020" s="23"/>
      <c r="E1020" s="24"/>
      <c r="G1020" s="25"/>
      <c r="I1020" s="26"/>
      <c r="J1020" s="27"/>
      <c r="K1020" s="27"/>
      <c r="L1020" s="27"/>
      <c r="M1020" s="27"/>
      <c r="N1020" s="23"/>
      <c r="O1020" s="28"/>
    </row>
    <row r="1021" spans="2:15" s="22" customFormat="1" ht="45.75" customHeight="1">
      <c r="B1021" s="23"/>
      <c r="C1021" s="23"/>
      <c r="E1021" s="24"/>
      <c r="G1021" s="25"/>
      <c r="I1021" s="26"/>
      <c r="J1021" s="27"/>
      <c r="K1021" s="27"/>
      <c r="L1021" s="27"/>
      <c r="M1021" s="27"/>
      <c r="N1021" s="23"/>
      <c r="O1021" s="28"/>
    </row>
    <row r="1022" spans="2:15" s="22" customFormat="1" ht="45.75" customHeight="1">
      <c r="B1022" s="23"/>
      <c r="C1022" s="23"/>
      <c r="E1022" s="24"/>
      <c r="G1022" s="25"/>
      <c r="I1022" s="26"/>
      <c r="J1022" s="27"/>
      <c r="K1022" s="27"/>
      <c r="L1022" s="27"/>
      <c r="M1022" s="27"/>
      <c r="N1022" s="23"/>
      <c r="O1022" s="28"/>
    </row>
    <row r="1023" spans="2:15" s="22" customFormat="1" ht="45.75" customHeight="1">
      <c r="B1023" s="23"/>
      <c r="C1023" s="23"/>
      <c r="E1023" s="24"/>
      <c r="G1023" s="25"/>
      <c r="I1023" s="26"/>
      <c r="J1023" s="27"/>
      <c r="K1023" s="27"/>
      <c r="L1023" s="27"/>
      <c r="M1023" s="27"/>
      <c r="N1023" s="23"/>
      <c r="O1023" s="28"/>
    </row>
    <row r="1024" spans="2:15" s="22" customFormat="1" ht="45.75" customHeight="1">
      <c r="B1024" s="23"/>
      <c r="C1024" s="23"/>
      <c r="E1024" s="24"/>
      <c r="G1024" s="25"/>
      <c r="I1024" s="26"/>
      <c r="J1024" s="27"/>
      <c r="K1024" s="27"/>
      <c r="L1024" s="27"/>
      <c r="M1024" s="27"/>
      <c r="N1024" s="23"/>
      <c r="O1024" s="28"/>
    </row>
    <row r="1025" spans="2:15" s="22" customFormat="1" ht="45.75" customHeight="1">
      <c r="B1025" s="23"/>
      <c r="C1025" s="23"/>
      <c r="E1025" s="24"/>
      <c r="G1025" s="25"/>
      <c r="I1025" s="26"/>
      <c r="J1025" s="27"/>
      <c r="K1025" s="27"/>
      <c r="L1025" s="27"/>
      <c r="M1025" s="27"/>
      <c r="N1025" s="23"/>
      <c r="O1025" s="28"/>
    </row>
    <row r="1026" spans="2:15" s="22" customFormat="1" ht="45.75" customHeight="1">
      <c r="B1026" s="23"/>
      <c r="C1026" s="23"/>
      <c r="E1026" s="24"/>
      <c r="G1026" s="25"/>
      <c r="I1026" s="26"/>
      <c r="J1026" s="27"/>
      <c r="K1026" s="27"/>
      <c r="L1026" s="27"/>
      <c r="M1026" s="27"/>
      <c r="N1026" s="23"/>
      <c r="O1026" s="28"/>
    </row>
    <row r="1027" spans="2:15" s="22" customFormat="1" ht="45.75" customHeight="1">
      <c r="B1027" s="23"/>
      <c r="C1027" s="23"/>
      <c r="E1027" s="24"/>
      <c r="G1027" s="25"/>
      <c r="I1027" s="26"/>
      <c r="J1027" s="27"/>
      <c r="K1027" s="27"/>
      <c r="L1027" s="27"/>
      <c r="M1027" s="27"/>
      <c r="N1027" s="23"/>
      <c r="O1027" s="28"/>
    </row>
    <row r="1028" spans="2:15" s="22" customFormat="1" ht="45.75" customHeight="1">
      <c r="B1028" s="23"/>
      <c r="C1028" s="23"/>
      <c r="E1028" s="24"/>
      <c r="G1028" s="25"/>
      <c r="I1028" s="26"/>
      <c r="J1028" s="27"/>
      <c r="K1028" s="27"/>
      <c r="L1028" s="27"/>
      <c r="M1028" s="27"/>
      <c r="N1028" s="23"/>
      <c r="O1028" s="28"/>
    </row>
    <row r="1029" spans="2:15" s="22" customFormat="1" ht="45.75" customHeight="1">
      <c r="B1029" s="23"/>
      <c r="C1029" s="23"/>
      <c r="E1029" s="24"/>
      <c r="G1029" s="25"/>
      <c r="I1029" s="26"/>
      <c r="J1029" s="27"/>
      <c r="K1029" s="27"/>
      <c r="L1029" s="27"/>
      <c r="M1029" s="27"/>
      <c r="N1029" s="23"/>
      <c r="O1029" s="28"/>
    </row>
    <row r="1030" spans="2:15" s="22" customFormat="1" ht="45.75" customHeight="1">
      <c r="B1030" s="23"/>
      <c r="C1030" s="23"/>
      <c r="E1030" s="24"/>
      <c r="G1030" s="25"/>
      <c r="I1030" s="26"/>
      <c r="J1030" s="27"/>
      <c r="K1030" s="27"/>
      <c r="L1030" s="27"/>
      <c r="M1030" s="27"/>
      <c r="N1030" s="23"/>
      <c r="O1030" s="28"/>
    </row>
    <row r="1031" spans="2:15" s="22" customFormat="1" ht="45.75" customHeight="1">
      <c r="B1031" s="23"/>
      <c r="C1031" s="23"/>
      <c r="E1031" s="24"/>
      <c r="G1031" s="25"/>
      <c r="I1031" s="26"/>
      <c r="J1031" s="27"/>
      <c r="K1031" s="27"/>
      <c r="L1031" s="27"/>
      <c r="M1031" s="27"/>
      <c r="N1031" s="23"/>
      <c r="O1031" s="28"/>
    </row>
    <row r="1032" spans="2:15" s="22" customFormat="1" ht="45.75" customHeight="1">
      <c r="B1032" s="23"/>
      <c r="C1032" s="23"/>
      <c r="E1032" s="24"/>
      <c r="G1032" s="25"/>
      <c r="I1032" s="26"/>
      <c r="J1032" s="27"/>
      <c r="K1032" s="27"/>
      <c r="L1032" s="27"/>
      <c r="M1032" s="27"/>
      <c r="N1032" s="23"/>
      <c r="O1032" s="28"/>
    </row>
    <row r="1033" spans="2:15" s="22" customFormat="1" ht="45.75" customHeight="1">
      <c r="B1033" s="23"/>
      <c r="C1033" s="23"/>
      <c r="E1033" s="24"/>
      <c r="G1033" s="25"/>
      <c r="I1033" s="26"/>
      <c r="J1033" s="27"/>
      <c r="K1033" s="27"/>
      <c r="L1033" s="27"/>
      <c r="M1033" s="27"/>
      <c r="N1033" s="23"/>
      <c r="O1033" s="28"/>
    </row>
    <row r="1034" spans="2:15" s="22" customFormat="1" ht="45.75" customHeight="1">
      <c r="B1034" s="23"/>
      <c r="C1034" s="23"/>
      <c r="E1034" s="24"/>
      <c r="G1034" s="25"/>
      <c r="I1034" s="26"/>
      <c r="J1034" s="27"/>
      <c r="K1034" s="27"/>
      <c r="L1034" s="27"/>
      <c r="M1034" s="27"/>
      <c r="N1034" s="23"/>
      <c r="O1034" s="28"/>
    </row>
    <row r="1035" spans="2:15" s="22" customFormat="1" ht="45.75" customHeight="1">
      <c r="B1035" s="23"/>
      <c r="C1035" s="23"/>
      <c r="E1035" s="24"/>
      <c r="G1035" s="25"/>
      <c r="I1035" s="26"/>
      <c r="J1035" s="27"/>
      <c r="K1035" s="27"/>
      <c r="L1035" s="27"/>
      <c r="M1035" s="27"/>
      <c r="N1035" s="23"/>
      <c r="O1035" s="28"/>
    </row>
    <row r="1036" spans="2:15" s="22" customFormat="1" ht="45.75" customHeight="1">
      <c r="B1036" s="23"/>
      <c r="C1036" s="23"/>
      <c r="E1036" s="24"/>
      <c r="G1036" s="25"/>
      <c r="I1036" s="26"/>
      <c r="J1036" s="27"/>
      <c r="K1036" s="27"/>
      <c r="L1036" s="27"/>
      <c r="M1036" s="27"/>
      <c r="N1036" s="23"/>
      <c r="O1036" s="28"/>
    </row>
    <row r="1037" spans="2:15" s="22" customFormat="1" ht="45.75" customHeight="1">
      <c r="B1037" s="23"/>
      <c r="C1037" s="23"/>
      <c r="E1037" s="24"/>
      <c r="G1037" s="25"/>
      <c r="I1037" s="26"/>
      <c r="J1037" s="27"/>
      <c r="K1037" s="27"/>
      <c r="L1037" s="27"/>
      <c r="M1037" s="27"/>
      <c r="N1037" s="23"/>
      <c r="O1037" s="28"/>
    </row>
    <row r="1038" spans="2:15" s="22" customFormat="1" ht="45.75" customHeight="1">
      <c r="B1038" s="23"/>
      <c r="C1038" s="23"/>
      <c r="E1038" s="24"/>
      <c r="G1038" s="25"/>
      <c r="I1038" s="26"/>
      <c r="J1038" s="27"/>
      <c r="K1038" s="27"/>
      <c r="L1038" s="27"/>
      <c r="M1038" s="27"/>
      <c r="N1038" s="23"/>
      <c r="O1038" s="28"/>
    </row>
    <row r="1039" spans="2:15" s="22" customFormat="1" ht="45.75" customHeight="1">
      <c r="B1039" s="23"/>
      <c r="C1039" s="23"/>
      <c r="E1039" s="24"/>
      <c r="G1039" s="25"/>
      <c r="I1039" s="26"/>
      <c r="J1039" s="27"/>
      <c r="K1039" s="27"/>
      <c r="L1039" s="27"/>
      <c r="M1039" s="27"/>
      <c r="N1039" s="23"/>
      <c r="O1039" s="28"/>
    </row>
    <row r="1040" spans="2:15" s="22" customFormat="1" ht="45.75" customHeight="1">
      <c r="B1040" s="23"/>
      <c r="C1040" s="23"/>
      <c r="E1040" s="24"/>
      <c r="G1040" s="25"/>
      <c r="I1040" s="26"/>
      <c r="J1040" s="27"/>
      <c r="K1040" s="27"/>
      <c r="L1040" s="27"/>
      <c r="M1040" s="27"/>
      <c r="N1040" s="23"/>
      <c r="O1040" s="28"/>
    </row>
    <row r="1041" spans="2:15" s="22" customFormat="1" ht="45.75" customHeight="1">
      <c r="B1041" s="23"/>
      <c r="C1041" s="23"/>
      <c r="E1041" s="24"/>
      <c r="G1041" s="25"/>
      <c r="I1041" s="26"/>
      <c r="J1041" s="27"/>
      <c r="K1041" s="27"/>
      <c r="L1041" s="27"/>
      <c r="M1041" s="27"/>
      <c r="N1041" s="23"/>
      <c r="O1041" s="28"/>
    </row>
    <row r="1042" spans="2:15" s="22" customFormat="1" ht="45.75" customHeight="1">
      <c r="B1042" s="23"/>
      <c r="C1042" s="23"/>
      <c r="E1042" s="24"/>
      <c r="G1042" s="25"/>
      <c r="I1042" s="26"/>
      <c r="J1042" s="27"/>
      <c r="K1042" s="27"/>
      <c r="L1042" s="27"/>
      <c r="M1042" s="27"/>
      <c r="N1042" s="23"/>
      <c r="O1042" s="28"/>
    </row>
    <row r="1043" spans="2:15" s="22" customFormat="1" ht="45.75" customHeight="1">
      <c r="B1043" s="23"/>
      <c r="C1043" s="23"/>
      <c r="E1043" s="24"/>
      <c r="G1043" s="25"/>
      <c r="I1043" s="26"/>
      <c r="J1043" s="27"/>
      <c r="K1043" s="27"/>
      <c r="L1043" s="27"/>
      <c r="M1043" s="27"/>
      <c r="N1043" s="23"/>
      <c r="O1043" s="28"/>
    </row>
    <row r="1044" spans="2:15" s="22" customFormat="1" ht="45.75" customHeight="1">
      <c r="B1044" s="23"/>
      <c r="C1044" s="23"/>
      <c r="E1044" s="24"/>
      <c r="G1044" s="25"/>
      <c r="I1044" s="26"/>
      <c r="J1044" s="27"/>
      <c r="K1044" s="27"/>
      <c r="L1044" s="27"/>
      <c r="M1044" s="27"/>
      <c r="N1044" s="23"/>
      <c r="O1044" s="28"/>
    </row>
    <row r="1045" spans="2:15" s="22" customFormat="1" ht="45.75" customHeight="1">
      <c r="B1045" s="23"/>
      <c r="C1045" s="23"/>
      <c r="E1045" s="24"/>
      <c r="G1045" s="25"/>
      <c r="I1045" s="26"/>
      <c r="J1045" s="27"/>
      <c r="K1045" s="27"/>
      <c r="L1045" s="27"/>
      <c r="M1045" s="27"/>
      <c r="N1045" s="23"/>
      <c r="O1045" s="28"/>
    </row>
    <row r="1046" spans="2:15" s="22" customFormat="1" ht="45.75" customHeight="1">
      <c r="B1046" s="23"/>
      <c r="C1046" s="23"/>
      <c r="E1046" s="24"/>
      <c r="G1046" s="25"/>
      <c r="I1046" s="26"/>
      <c r="J1046" s="27"/>
      <c r="K1046" s="27"/>
      <c r="L1046" s="27"/>
      <c r="M1046" s="27"/>
      <c r="N1046" s="23"/>
      <c r="O1046" s="28"/>
    </row>
    <row r="1047" spans="2:15" s="22" customFormat="1" ht="45.75" customHeight="1">
      <c r="B1047" s="23"/>
      <c r="C1047" s="23"/>
      <c r="E1047" s="24"/>
      <c r="G1047" s="25"/>
      <c r="I1047" s="26"/>
      <c r="J1047" s="27"/>
      <c r="K1047" s="27"/>
      <c r="L1047" s="27"/>
      <c r="M1047" s="27"/>
      <c r="N1047" s="23"/>
      <c r="O1047" s="28"/>
    </row>
    <row r="1048" spans="2:15" s="22" customFormat="1" ht="45.75" customHeight="1">
      <c r="B1048" s="23"/>
      <c r="C1048" s="23"/>
      <c r="E1048" s="24"/>
      <c r="G1048" s="25"/>
      <c r="I1048" s="26"/>
      <c r="J1048" s="27"/>
      <c r="K1048" s="27"/>
      <c r="L1048" s="27"/>
      <c r="M1048" s="27"/>
      <c r="N1048" s="23"/>
      <c r="O1048" s="28"/>
    </row>
    <row r="1049" spans="2:15" s="22" customFormat="1" ht="45.75" customHeight="1">
      <c r="B1049" s="23"/>
      <c r="C1049" s="23"/>
      <c r="E1049" s="24"/>
      <c r="G1049" s="25"/>
      <c r="I1049" s="26"/>
      <c r="J1049" s="27"/>
      <c r="K1049" s="27"/>
      <c r="L1049" s="27"/>
      <c r="M1049" s="27"/>
      <c r="N1049" s="23"/>
      <c r="O1049" s="28"/>
    </row>
    <row r="1050" spans="2:15" s="22" customFormat="1" ht="45.75" customHeight="1">
      <c r="B1050" s="23"/>
      <c r="C1050" s="23"/>
      <c r="E1050" s="24"/>
      <c r="G1050" s="25"/>
      <c r="I1050" s="26"/>
      <c r="J1050" s="27"/>
      <c r="K1050" s="27"/>
      <c r="L1050" s="27"/>
      <c r="M1050" s="27"/>
      <c r="N1050" s="23"/>
      <c r="O1050" s="28"/>
    </row>
    <row r="1051" spans="2:15" s="22" customFormat="1" ht="45.75" customHeight="1">
      <c r="B1051" s="23"/>
      <c r="C1051" s="23"/>
      <c r="E1051" s="24"/>
      <c r="G1051" s="25"/>
      <c r="I1051" s="26"/>
      <c r="J1051" s="27"/>
      <c r="K1051" s="27"/>
      <c r="L1051" s="27"/>
      <c r="M1051" s="27"/>
      <c r="N1051" s="23"/>
      <c r="O1051" s="28"/>
    </row>
    <row r="1052" spans="2:15" s="22" customFormat="1" ht="45.75" customHeight="1">
      <c r="B1052" s="23"/>
      <c r="C1052" s="23"/>
      <c r="E1052" s="24"/>
      <c r="G1052" s="25"/>
      <c r="I1052" s="26"/>
      <c r="J1052" s="27"/>
      <c r="K1052" s="27"/>
      <c r="L1052" s="27"/>
      <c r="M1052" s="27"/>
      <c r="N1052" s="23"/>
      <c r="O1052" s="28"/>
    </row>
    <row r="1053" spans="2:15" s="22" customFormat="1" ht="45.75" customHeight="1">
      <c r="B1053" s="23"/>
      <c r="C1053" s="23"/>
      <c r="E1053" s="24"/>
      <c r="G1053" s="25"/>
      <c r="I1053" s="26"/>
      <c r="J1053" s="27"/>
      <c r="K1053" s="27"/>
      <c r="L1053" s="27"/>
      <c r="M1053" s="27"/>
      <c r="N1053" s="23"/>
      <c r="O1053" s="28"/>
    </row>
    <row r="1054" spans="2:15" s="22" customFormat="1" ht="45.75" customHeight="1">
      <c r="B1054" s="23"/>
      <c r="C1054" s="23"/>
      <c r="E1054" s="24"/>
      <c r="G1054" s="25"/>
      <c r="I1054" s="26"/>
      <c r="J1054" s="27"/>
      <c r="K1054" s="27"/>
      <c r="L1054" s="27"/>
      <c r="M1054" s="27"/>
      <c r="N1054" s="23"/>
      <c r="O1054" s="28"/>
    </row>
    <row r="1055" spans="2:15" s="22" customFormat="1" ht="45.75" customHeight="1">
      <c r="B1055" s="23"/>
      <c r="C1055" s="23"/>
      <c r="E1055" s="24"/>
      <c r="G1055" s="25"/>
      <c r="I1055" s="26"/>
      <c r="J1055" s="27"/>
      <c r="K1055" s="27"/>
      <c r="L1055" s="27"/>
      <c r="M1055" s="27"/>
      <c r="N1055" s="23"/>
      <c r="O1055" s="28"/>
    </row>
    <row r="1056" spans="2:15" s="22" customFormat="1" ht="45.75" customHeight="1">
      <c r="B1056" s="23"/>
      <c r="C1056" s="23"/>
      <c r="E1056" s="24"/>
      <c r="G1056" s="25"/>
      <c r="I1056" s="26"/>
      <c r="J1056" s="27"/>
      <c r="K1056" s="27"/>
      <c r="L1056" s="27"/>
      <c r="M1056" s="27"/>
      <c r="N1056" s="23"/>
      <c r="O1056" s="28"/>
    </row>
    <row r="1057" spans="2:15" s="22" customFormat="1" ht="45.75" customHeight="1">
      <c r="B1057" s="23"/>
      <c r="C1057" s="23"/>
      <c r="E1057" s="24"/>
      <c r="G1057" s="25"/>
      <c r="I1057" s="26"/>
      <c r="J1057" s="27"/>
      <c r="K1057" s="27"/>
      <c r="L1057" s="27"/>
      <c r="M1057" s="27"/>
      <c r="N1057" s="23"/>
      <c r="O1057" s="28"/>
    </row>
    <row r="1058" spans="2:15" s="22" customFormat="1" ht="45.75" customHeight="1">
      <c r="B1058" s="23"/>
      <c r="C1058" s="23"/>
      <c r="E1058" s="24"/>
      <c r="G1058" s="25"/>
      <c r="I1058" s="26"/>
      <c r="J1058" s="27"/>
      <c r="K1058" s="27"/>
      <c r="L1058" s="27"/>
      <c r="M1058" s="27"/>
      <c r="N1058" s="23"/>
      <c r="O1058" s="28"/>
    </row>
    <row r="1059" spans="2:15" s="22" customFormat="1" ht="45.75" customHeight="1">
      <c r="B1059" s="23"/>
      <c r="C1059" s="23"/>
      <c r="E1059" s="24"/>
      <c r="G1059" s="25"/>
      <c r="I1059" s="26"/>
      <c r="J1059" s="27"/>
      <c r="K1059" s="27"/>
      <c r="L1059" s="27"/>
      <c r="M1059" s="27"/>
      <c r="N1059" s="23"/>
      <c r="O1059" s="28"/>
    </row>
    <row r="1060" spans="2:15" s="22" customFormat="1" ht="45.75" customHeight="1">
      <c r="B1060" s="23"/>
      <c r="C1060" s="23"/>
      <c r="E1060" s="24"/>
      <c r="G1060" s="25"/>
      <c r="I1060" s="26"/>
      <c r="J1060" s="27"/>
      <c r="K1060" s="27"/>
      <c r="L1060" s="27"/>
      <c r="M1060" s="27"/>
      <c r="N1060" s="23"/>
      <c r="O1060" s="28"/>
    </row>
    <row r="1061" spans="2:15" s="22" customFormat="1" ht="45.75" customHeight="1">
      <c r="B1061" s="23"/>
      <c r="C1061" s="23"/>
      <c r="E1061" s="24"/>
      <c r="G1061" s="25"/>
      <c r="I1061" s="26"/>
      <c r="J1061" s="27"/>
      <c r="K1061" s="27"/>
      <c r="L1061" s="27"/>
      <c r="M1061" s="27"/>
      <c r="N1061" s="23"/>
      <c r="O1061" s="28"/>
    </row>
    <row r="1062" spans="2:15" s="22" customFormat="1" ht="45.75" customHeight="1">
      <c r="B1062" s="23"/>
      <c r="C1062" s="23"/>
      <c r="E1062" s="24"/>
      <c r="G1062" s="25"/>
      <c r="I1062" s="26"/>
      <c r="J1062" s="27"/>
      <c r="K1062" s="27"/>
      <c r="L1062" s="27"/>
      <c r="M1062" s="27"/>
      <c r="N1062" s="23"/>
      <c r="O1062" s="28"/>
    </row>
    <row r="1063" spans="2:15" s="22" customFormat="1" ht="45.75" customHeight="1">
      <c r="B1063" s="23"/>
      <c r="C1063" s="23"/>
      <c r="E1063" s="24"/>
      <c r="G1063" s="25"/>
      <c r="I1063" s="26"/>
      <c r="J1063" s="27"/>
      <c r="K1063" s="27"/>
      <c r="L1063" s="27"/>
      <c r="M1063" s="27"/>
      <c r="N1063" s="23"/>
      <c r="O1063" s="28"/>
    </row>
    <row r="1064" spans="2:15" s="22" customFormat="1" ht="45.75" customHeight="1">
      <c r="B1064" s="23"/>
      <c r="C1064" s="23"/>
      <c r="E1064" s="24"/>
      <c r="G1064" s="25"/>
      <c r="I1064" s="26"/>
      <c r="J1064" s="27"/>
      <c r="K1064" s="27"/>
      <c r="L1064" s="27"/>
      <c r="M1064" s="27"/>
      <c r="N1064" s="23"/>
      <c r="O1064" s="28"/>
    </row>
    <row r="1065" spans="2:15" s="22" customFormat="1" ht="45.75" customHeight="1">
      <c r="B1065" s="23"/>
      <c r="C1065" s="23"/>
      <c r="E1065" s="24"/>
      <c r="G1065" s="25"/>
      <c r="I1065" s="26"/>
      <c r="J1065" s="27"/>
      <c r="K1065" s="27"/>
      <c r="L1065" s="27"/>
      <c r="M1065" s="27"/>
      <c r="N1065" s="23"/>
      <c r="O1065" s="28"/>
    </row>
    <row r="1066" spans="2:15" s="22" customFormat="1" ht="45.75" customHeight="1">
      <c r="B1066" s="23"/>
      <c r="C1066" s="23"/>
      <c r="E1066" s="24"/>
      <c r="G1066" s="25"/>
      <c r="I1066" s="26"/>
      <c r="J1066" s="27"/>
      <c r="K1066" s="27"/>
      <c r="L1066" s="27"/>
      <c r="M1066" s="27"/>
      <c r="N1066" s="23"/>
      <c r="O1066" s="28"/>
    </row>
    <row r="1067" spans="2:15" s="22" customFormat="1" ht="45.75" customHeight="1">
      <c r="B1067" s="23"/>
      <c r="C1067" s="23"/>
      <c r="E1067" s="24"/>
      <c r="G1067" s="25"/>
      <c r="I1067" s="26"/>
      <c r="J1067" s="27"/>
      <c r="K1067" s="27"/>
      <c r="L1067" s="27"/>
      <c r="M1067" s="27"/>
      <c r="N1067" s="23"/>
      <c r="O1067" s="28"/>
    </row>
    <row r="1068" spans="2:15" s="22" customFormat="1" ht="45.75" customHeight="1">
      <c r="B1068" s="23"/>
      <c r="C1068" s="23"/>
      <c r="E1068" s="24"/>
      <c r="G1068" s="25"/>
      <c r="I1068" s="26"/>
      <c r="J1068" s="27"/>
      <c r="K1068" s="27"/>
      <c r="L1068" s="27"/>
      <c r="M1068" s="27"/>
      <c r="N1068" s="23"/>
      <c r="O1068" s="28"/>
    </row>
    <row r="1069" spans="2:15" s="22" customFormat="1" ht="45.75" customHeight="1">
      <c r="B1069" s="23"/>
      <c r="C1069" s="23"/>
      <c r="E1069" s="24"/>
      <c r="G1069" s="25"/>
      <c r="I1069" s="26"/>
      <c r="J1069" s="27"/>
      <c r="K1069" s="27"/>
      <c r="L1069" s="27"/>
      <c r="M1069" s="27"/>
      <c r="N1069" s="23"/>
      <c r="O1069" s="28"/>
    </row>
    <row r="1070" spans="2:15" s="22" customFormat="1" ht="45.75" customHeight="1">
      <c r="B1070" s="23"/>
      <c r="C1070" s="23"/>
      <c r="E1070" s="24"/>
      <c r="G1070" s="25"/>
      <c r="I1070" s="26"/>
      <c r="J1070" s="27"/>
      <c r="K1070" s="27"/>
      <c r="L1070" s="27"/>
      <c r="M1070" s="27"/>
      <c r="N1070" s="23"/>
      <c r="O1070" s="28"/>
    </row>
    <row r="1071" spans="2:15" s="22" customFormat="1" ht="45.75" customHeight="1">
      <c r="B1071" s="23"/>
      <c r="C1071" s="23"/>
      <c r="E1071" s="24"/>
      <c r="G1071" s="25"/>
      <c r="I1071" s="26"/>
      <c r="J1071" s="27"/>
      <c r="K1071" s="27"/>
      <c r="L1071" s="27"/>
      <c r="M1071" s="27"/>
      <c r="N1071" s="23"/>
      <c r="O1071" s="28"/>
    </row>
    <row r="1072" spans="2:15" s="22" customFormat="1" ht="45.75" customHeight="1">
      <c r="B1072" s="23"/>
      <c r="C1072" s="23"/>
      <c r="E1072" s="24"/>
      <c r="G1072" s="25"/>
      <c r="I1072" s="26"/>
      <c r="J1072" s="27"/>
      <c r="K1072" s="27"/>
      <c r="L1072" s="27"/>
      <c r="M1072" s="27"/>
      <c r="N1072" s="23"/>
      <c r="O1072" s="28"/>
    </row>
    <row r="1073" spans="2:15" s="22" customFormat="1" ht="45.75" customHeight="1">
      <c r="B1073" s="23"/>
      <c r="C1073" s="23"/>
      <c r="E1073" s="24"/>
      <c r="G1073" s="25"/>
      <c r="I1073" s="26"/>
      <c r="J1073" s="27"/>
      <c r="K1073" s="27"/>
      <c r="L1073" s="27"/>
      <c r="M1073" s="27"/>
      <c r="N1073" s="23"/>
      <c r="O1073" s="28"/>
    </row>
    <row r="1074" spans="2:15" s="22" customFormat="1" ht="45.75" customHeight="1">
      <c r="B1074" s="23"/>
      <c r="C1074" s="23"/>
      <c r="E1074" s="24"/>
      <c r="G1074" s="25"/>
      <c r="I1074" s="26"/>
      <c r="J1074" s="27"/>
      <c r="K1074" s="27"/>
      <c r="L1074" s="27"/>
      <c r="M1074" s="27"/>
      <c r="N1074" s="23"/>
      <c r="O1074" s="28"/>
    </row>
    <row r="1075" spans="2:15" s="22" customFormat="1" ht="45.75" customHeight="1">
      <c r="B1075" s="23"/>
      <c r="C1075" s="23"/>
      <c r="E1075" s="24"/>
      <c r="G1075" s="25"/>
      <c r="I1075" s="26"/>
      <c r="J1075" s="27"/>
      <c r="K1075" s="27"/>
      <c r="L1075" s="27"/>
      <c r="M1075" s="27"/>
      <c r="N1075" s="23"/>
      <c r="O1075" s="28"/>
    </row>
    <row r="1076" spans="2:15" s="22" customFormat="1" ht="45.75" customHeight="1">
      <c r="B1076" s="23"/>
      <c r="C1076" s="23"/>
      <c r="E1076" s="24"/>
      <c r="G1076" s="25"/>
      <c r="I1076" s="26"/>
      <c r="J1076" s="27"/>
      <c r="K1076" s="27"/>
      <c r="L1076" s="27"/>
      <c r="M1076" s="27"/>
      <c r="N1076" s="23"/>
      <c r="O1076" s="28"/>
    </row>
    <row r="1077" spans="2:15" s="22" customFormat="1" ht="45.75" customHeight="1">
      <c r="B1077" s="23"/>
      <c r="C1077" s="23"/>
      <c r="E1077" s="24"/>
      <c r="G1077" s="25"/>
      <c r="I1077" s="26"/>
      <c r="J1077" s="27"/>
      <c r="K1077" s="27"/>
      <c r="L1077" s="27"/>
      <c r="M1077" s="27"/>
      <c r="N1077" s="23"/>
      <c r="O1077" s="28"/>
    </row>
    <row r="1078" spans="2:15" s="22" customFormat="1" ht="45.75" customHeight="1">
      <c r="B1078" s="23"/>
      <c r="C1078" s="23"/>
      <c r="E1078" s="24"/>
      <c r="G1078" s="25"/>
      <c r="I1078" s="26"/>
      <c r="J1078" s="27"/>
      <c r="K1078" s="27"/>
      <c r="L1078" s="27"/>
      <c r="M1078" s="27"/>
      <c r="N1078" s="23"/>
      <c r="O1078" s="28"/>
    </row>
    <row r="1079" spans="2:15" s="22" customFormat="1" ht="45.75" customHeight="1">
      <c r="B1079" s="23"/>
      <c r="C1079" s="23"/>
      <c r="E1079" s="24"/>
      <c r="G1079" s="25"/>
      <c r="I1079" s="26"/>
      <c r="J1079" s="27"/>
      <c r="K1079" s="27"/>
      <c r="L1079" s="27"/>
      <c r="M1079" s="27"/>
      <c r="N1079" s="23"/>
      <c r="O1079" s="28"/>
    </row>
    <row r="1080" spans="2:15" s="22" customFormat="1" ht="45.75" customHeight="1">
      <c r="B1080" s="23"/>
      <c r="C1080" s="23"/>
      <c r="E1080" s="24"/>
      <c r="G1080" s="25"/>
      <c r="I1080" s="26"/>
      <c r="J1080" s="27"/>
      <c r="K1080" s="27"/>
      <c r="L1080" s="27"/>
      <c r="M1080" s="27"/>
      <c r="N1080" s="23"/>
      <c r="O1080" s="28"/>
    </row>
    <row r="1081" spans="2:15" s="22" customFormat="1" ht="45.75" customHeight="1">
      <c r="B1081" s="23"/>
      <c r="C1081" s="23"/>
      <c r="E1081" s="24"/>
      <c r="G1081" s="25"/>
      <c r="I1081" s="26"/>
      <c r="J1081" s="27"/>
      <c r="K1081" s="27"/>
      <c r="L1081" s="27"/>
      <c r="M1081" s="27"/>
      <c r="N1081" s="23"/>
      <c r="O1081" s="28"/>
    </row>
    <row r="1082" spans="2:15" s="22" customFormat="1" ht="45.75" customHeight="1">
      <c r="B1082" s="23"/>
      <c r="C1082" s="23"/>
      <c r="E1082" s="24"/>
      <c r="G1082" s="25"/>
      <c r="I1082" s="26"/>
      <c r="J1082" s="27"/>
      <c r="K1082" s="27"/>
      <c r="L1082" s="27"/>
      <c r="M1082" s="27"/>
      <c r="N1082" s="23"/>
      <c r="O1082" s="28"/>
    </row>
    <row r="1083" spans="2:15" s="22" customFormat="1" ht="45.75" customHeight="1">
      <c r="B1083" s="23"/>
      <c r="C1083" s="23"/>
      <c r="E1083" s="24"/>
      <c r="G1083" s="25"/>
      <c r="I1083" s="26"/>
      <c r="J1083" s="27"/>
      <c r="K1083" s="27"/>
      <c r="L1083" s="27"/>
      <c r="M1083" s="27"/>
      <c r="N1083" s="23"/>
      <c r="O1083" s="28"/>
    </row>
    <row r="1084" spans="2:15" s="22" customFormat="1" ht="45.75" customHeight="1">
      <c r="B1084" s="23"/>
      <c r="C1084" s="23"/>
      <c r="E1084" s="24"/>
      <c r="G1084" s="25"/>
      <c r="I1084" s="26"/>
      <c r="J1084" s="27"/>
      <c r="K1084" s="27"/>
      <c r="L1084" s="27"/>
      <c r="M1084" s="27"/>
      <c r="N1084" s="23"/>
      <c r="O1084" s="28"/>
    </row>
    <row r="1085" spans="2:15" s="22" customFormat="1" ht="45.75" customHeight="1">
      <c r="B1085" s="23"/>
      <c r="C1085" s="23"/>
      <c r="E1085" s="24"/>
      <c r="G1085" s="25"/>
      <c r="I1085" s="26"/>
      <c r="J1085" s="27"/>
      <c r="K1085" s="27"/>
      <c r="L1085" s="27"/>
      <c r="M1085" s="27"/>
      <c r="N1085" s="23"/>
      <c r="O1085" s="28"/>
    </row>
    <row r="1086" spans="2:15" s="22" customFormat="1" ht="45.75" customHeight="1">
      <c r="B1086" s="23"/>
      <c r="C1086" s="23"/>
      <c r="E1086" s="24"/>
      <c r="G1086" s="25"/>
      <c r="I1086" s="26"/>
      <c r="J1086" s="27"/>
      <c r="K1086" s="27"/>
      <c r="L1086" s="27"/>
      <c r="M1086" s="27"/>
      <c r="N1086" s="23"/>
      <c r="O1086" s="28"/>
    </row>
    <row r="1087" spans="2:15" s="22" customFormat="1" ht="45.75" customHeight="1">
      <c r="B1087" s="23"/>
      <c r="C1087" s="23"/>
      <c r="E1087" s="24"/>
      <c r="G1087" s="25"/>
      <c r="I1087" s="26"/>
      <c r="J1087" s="27"/>
      <c r="K1087" s="27"/>
      <c r="L1087" s="27"/>
      <c r="M1087" s="27"/>
      <c r="N1087" s="23"/>
      <c r="O1087" s="28"/>
    </row>
    <row r="1088" spans="2:15" s="22" customFormat="1" ht="45.75" customHeight="1">
      <c r="B1088" s="23"/>
      <c r="C1088" s="23"/>
      <c r="E1088" s="24"/>
      <c r="G1088" s="25"/>
      <c r="I1088" s="26"/>
      <c r="J1088" s="27"/>
      <c r="K1088" s="27"/>
      <c r="L1088" s="27"/>
      <c r="M1088" s="27"/>
      <c r="N1088" s="23"/>
      <c r="O1088" s="28"/>
    </row>
    <row r="1089" spans="2:15" s="22" customFormat="1" ht="45.75" customHeight="1">
      <c r="B1089" s="23"/>
      <c r="C1089" s="23"/>
      <c r="E1089" s="24"/>
      <c r="G1089" s="25"/>
      <c r="I1089" s="26"/>
      <c r="J1089" s="27"/>
      <c r="K1089" s="27"/>
      <c r="L1089" s="27"/>
      <c r="M1089" s="27"/>
      <c r="N1089" s="23"/>
      <c r="O1089" s="28"/>
    </row>
    <row r="1090" spans="2:15" s="22" customFormat="1" ht="45.75" customHeight="1">
      <c r="B1090" s="23"/>
      <c r="C1090" s="23"/>
      <c r="E1090" s="24"/>
      <c r="G1090" s="25"/>
      <c r="I1090" s="26"/>
      <c r="J1090" s="27"/>
      <c r="K1090" s="27"/>
      <c r="L1090" s="27"/>
      <c r="M1090" s="27"/>
      <c r="N1090" s="23"/>
      <c r="O1090" s="28"/>
    </row>
    <row r="1091" spans="2:15" s="22" customFormat="1" ht="45.75" customHeight="1">
      <c r="B1091" s="23"/>
      <c r="C1091" s="23"/>
      <c r="E1091" s="24"/>
      <c r="G1091" s="25"/>
      <c r="I1091" s="26"/>
      <c r="J1091" s="27"/>
      <c r="K1091" s="27"/>
      <c r="L1091" s="27"/>
      <c r="M1091" s="27"/>
      <c r="N1091" s="23"/>
      <c r="O1091" s="28"/>
    </row>
    <row r="1092" spans="2:15" s="22" customFormat="1" ht="45.75" customHeight="1">
      <c r="B1092" s="23"/>
      <c r="C1092" s="23"/>
      <c r="E1092" s="24"/>
      <c r="G1092" s="25"/>
      <c r="I1092" s="26"/>
      <c r="J1092" s="27"/>
      <c r="K1092" s="27"/>
      <c r="L1092" s="27"/>
      <c r="M1092" s="27"/>
      <c r="N1092" s="23"/>
      <c r="O1092" s="28"/>
    </row>
    <row r="1093" spans="2:15" s="22" customFormat="1" ht="45.75" customHeight="1">
      <c r="B1093" s="23"/>
      <c r="C1093" s="23"/>
      <c r="E1093" s="24"/>
      <c r="G1093" s="25"/>
      <c r="I1093" s="26"/>
      <c r="J1093" s="27"/>
      <c r="K1093" s="27"/>
      <c r="L1093" s="27"/>
      <c r="M1093" s="27"/>
      <c r="N1093" s="23"/>
      <c r="O1093" s="28"/>
    </row>
    <row r="1094" spans="2:15" s="22" customFormat="1" ht="45.75" customHeight="1">
      <c r="B1094" s="23"/>
      <c r="C1094" s="23"/>
      <c r="E1094" s="24"/>
      <c r="G1094" s="25"/>
      <c r="I1094" s="26"/>
      <c r="J1094" s="27"/>
      <c r="K1094" s="27"/>
      <c r="L1094" s="27"/>
      <c r="M1094" s="27"/>
      <c r="N1094" s="23"/>
      <c r="O1094" s="28"/>
    </row>
    <row r="1095" spans="2:15" s="22" customFormat="1" ht="45.75" customHeight="1">
      <c r="B1095" s="23"/>
      <c r="C1095" s="23"/>
      <c r="E1095" s="24"/>
      <c r="G1095" s="25"/>
      <c r="I1095" s="26"/>
      <c r="J1095" s="27"/>
      <c r="K1095" s="27"/>
      <c r="L1095" s="27"/>
      <c r="M1095" s="27"/>
      <c r="N1095" s="23"/>
      <c r="O1095" s="28"/>
    </row>
    <row r="1096" spans="2:15" s="22" customFormat="1" ht="45.75" customHeight="1">
      <c r="B1096" s="23"/>
      <c r="C1096" s="23"/>
      <c r="E1096" s="24"/>
      <c r="G1096" s="25"/>
      <c r="I1096" s="26"/>
      <c r="J1096" s="27"/>
      <c r="K1096" s="27"/>
      <c r="L1096" s="27"/>
      <c r="M1096" s="27"/>
      <c r="N1096" s="23"/>
      <c r="O1096" s="28"/>
    </row>
    <row r="1097" spans="2:15" s="22" customFormat="1" ht="45.75" customHeight="1">
      <c r="B1097" s="23"/>
      <c r="C1097" s="23"/>
      <c r="E1097" s="24"/>
      <c r="G1097" s="25"/>
      <c r="I1097" s="26"/>
      <c r="J1097" s="27"/>
      <c r="K1097" s="27"/>
      <c r="L1097" s="27"/>
      <c r="M1097" s="27"/>
      <c r="N1097" s="23"/>
      <c r="O1097" s="28"/>
    </row>
    <row r="1098" spans="2:15" s="22" customFormat="1" ht="45.75" customHeight="1">
      <c r="B1098" s="23"/>
      <c r="C1098" s="23"/>
      <c r="E1098" s="24"/>
      <c r="G1098" s="25"/>
      <c r="I1098" s="26"/>
      <c r="J1098" s="27"/>
      <c r="K1098" s="27"/>
      <c r="L1098" s="27"/>
      <c r="M1098" s="27"/>
      <c r="N1098" s="23"/>
      <c r="O1098" s="28"/>
    </row>
    <row r="1099" spans="2:15" s="22" customFormat="1" ht="45.75" customHeight="1">
      <c r="B1099" s="23"/>
      <c r="C1099" s="23"/>
      <c r="E1099" s="24"/>
      <c r="G1099" s="25"/>
      <c r="I1099" s="26"/>
      <c r="J1099" s="27"/>
      <c r="K1099" s="27"/>
      <c r="L1099" s="27"/>
      <c r="M1099" s="27"/>
      <c r="N1099" s="23"/>
      <c r="O1099" s="28"/>
    </row>
    <row r="1100" spans="2:15" s="22" customFormat="1" ht="45.75" customHeight="1">
      <c r="B1100" s="23"/>
      <c r="C1100" s="23"/>
      <c r="E1100" s="24"/>
      <c r="G1100" s="25"/>
      <c r="I1100" s="26"/>
      <c r="J1100" s="27"/>
      <c r="K1100" s="27"/>
      <c r="L1100" s="27"/>
      <c r="M1100" s="27"/>
      <c r="N1100" s="23"/>
      <c r="O1100" s="28"/>
    </row>
    <row r="1101" spans="2:15" s="22" customFormat="1" ht="45.75" customHeight="1">
      <c r="B1101" s="23"/>
      <c r="C1101" s="23"/>
      <c r="E1101" s="24"/>
      <c r="G1101" s="25"/>
      <c r="I1101" s="26"/>
      <c r="J1101" s="27"/>
      <c r="K1101" s="27"/>
      <c r="L1101" s="27"/>
      <c r="M1101" s="27"/>
      <c r="N1101" s="23"/>
      <c r="O1101" s="28"/>
    </row>
    <row r="1102" spans="2:15" s="22" customFormat="1" ht="45.75" customHeight="1">
      <c r="B1102" s="23"/>
      <c r="C1102" s="23"/>
      <c r="E1102" s="24"/>
      <c r="G1102" s="25"/>
      <c r="I1102" s="26"/>
      <c r="J1102" s="27"/>
      <c r="K1102" s="27"/>
      <c r="L1102" s="27"/>
      <c r="M1102" s="27"/>
      <c r="N1102" s="23"/>
      <c r="O1102" s="28"/>
    </row>
    <row r="1103" spans="2:15" s="22" customFormat="1" ht="45.75" customHeight="1">
      <c r="B1103" s="23"/>
      <c r="C1103" s="23"/>
      <c r="E1103" s="24"/>
      <c r="G1103" s="25"/>
      <c r="I1103" s="26"/>
      <c r="J1103" s="27"/>
      <c r="K1103" s="27"/>
      <c r="L1103" s="27"/>
      <c r="M1103" s="27"/>
      <c r="N1103" s="23"/>
      <c r="O1103" s="28"/>
    </row>
    <row r="1104" spans="2:15" s="22" customFormat="1" ht="45.75" customHeight="1">
      <c r="B1104" s="23"/>
      <c r="C1104" s="23"/>
      <c r="E1104" s="24"/>
      <c r="G1104" s="25"/>
      <c r="I1104" s="26"/>
      <c r="J1104" s="27"/>
      <c r="K1104" s="27"/>
      <c r="L1104" s="27"/>
      <c r="M1104" s="27"/>
      <c r="N1104" s="23"/>
      <c r="O1104" s="28"/>
    </row>
    <row r="1105" spans="2:15" s="22" customFormat="1" ht="45.75" customHeight="1">
      <c r="B1105" s="23"/>
      <c r="C1105" s="23"/>
      <c r="E1105" s="24"/>
      <c r="G1105" s="25"/>
      <c r="I1105" s="26"/>
      <c r="J1105" s="27"/>
      <c r="K1105" s="27"/>
      <c r="L1105" s="27"/>
      <c r="M1105" s="27"/>
      <c r="N1105" s="23"/>
      <c r="O1105" s="28"/>
    </row>
    <row r="1106" spans="2:15" s="22" customFormat="1" ht="45.75" customHeight="1">
      <c r="B1106" s="23"/>
      <c r="C1106" s="23"/>
      <c r="E1106" s="24"/>
      <c r="G1106" s="25"/>
      <c r="I1106" s="26"/>
      <c r="J1106" s="27"/>
      <c r="K1106" s="27"/>
      <c r="L1106" s="27"/>
      <c r="M1106" s="27"/>
      <c r="N1106" s="23"/>
      <c r="O1106" s="28"/>
    </row>
    <row r="1107" spans="2:15" s="22" customFormat="1" ht="45.75" customHeight="1">
      <c r="B1107" s="23"/>
      <c r="C1107" s="23"/>
      <c r="E1107" s="24"/>
      <c r="G1107" s="25"/>
      <c r="I1107" s="26"/>
      <c r="J1107" s="27"/>
      <c r="K1107" s="27"/>
      <c r="L1107" s="27"/>
      <c r="M1107" s="27"/>
      <c r="N1107" s="23"/>
      <c r="O1107" s="28"/>
    </row>
    <row r="1108" spans="2:15" s="22" customFormat="1" ht="45.75" customHeight="1">
      <c r="B1108" s="23"/>
      <c r="C1108" s="23"/>
      <c r="E1108" s="24"/>
      <c r="G1108" s="25"/>
      <c r="I1108" s="26"/>
      <c r="J1108" s="27"/>
      <c r="K1108" s="27"/>
      <c r="L1108" s="27"/>
      <c r="M1108" s="27"/>
      <c r="N1108" s="23"/>
      <c r="O1108" s="28"/>
    </row>
    <row r="1109" spans="2:15" s="22" customFormat="1" ht="45.75" customHeight="1">
      <c r="B1109" s="23"/>
      <c r="C1109" s="23"/>
      <c r="E1109" s="24"/>
      <c r="G1109" s="25"/>
      <c r="I1109" s="26"/>
      <c r="J1109" s="27"/>
      <c r="K1109" s="27"/>
      <c r="L1109" s="27"/>
      <c r="M1109" s="27"/>
      <c r="N1109" s="23"/>
      <c r="O1109" s="28"/>
    </row>
    <row r="1110" spans="2:15" s="22" customFormat="1" ht="45.75" customHeight="1">
      <c r="B1110" s="23"/>
      <c r="C1110" s="23"/>
      <c r="E1110" s="24"/>
      <c r="G1110" s="25"/>
      <c r="I1110" s="26"/>
      <c r="J1110" s="27"/>
      <c r="K1110" s="27"/>
      <c r="L1110" s="27"/>
      <c r="M1110" s="27"/>
      <c r="N1110" s="23"/>
      <c r="O1110" s="28"/>
    </row>
    <row r="1111" spans="2:15" s="22" customFormat="1" ht="45.75" customHeight="1">
      <c r="B1111" s="23"/>
      <c r="C1111" s="23"/>
      <c r="E1111" s="24"/>
      <c r="G1111" s="25"/>
      <c r="I1111" s="26"/>
      <c r="J1111" s="27"/>
      <c r="K1111" s="27"/>
      <c r="L1111" s="27"/>
      <c r="M1111" s="27"/>
      <c r="N1111" s="23"/>
      <c r="O1111" s="28"/>
    </row>
    <row r="1112" spans="2:15" s="22" customFormat="1" ht="45.75" customHeight="1">
      <c r="B1112" s="23"/>
      <c r="C1112" s="23"/>
      <c r="E1112" s="24"/>
      <c r="G1112" s="25"/>
      <c r="I1112" s="26"/>
      <c r="J1112" s="27"/>
      <c r="K1112" s="27"/>
      <c r="L1112" s="27"/>
      <c r="M1112" s="27"/>
      <c r="N1112" s="23"/>
      <c r="O1112" s="28"/>
    </row>
    <row r="1113" spans="2:15" s="22" customFormat="1" ht="45.75" customHeight="1">
      <c r="B1113" s="23"/>
      <c r="C1113" s="23"/>
      <c r="E1113" s="24"/>
      <c r="G1113" s="25"/>
      <c r="I1113" s="26"/>
      <c r="J1113" s="27"/>
      <c r="K1113" s="27"/>
      <c r="L1113" s="27"/>
      <c r="M1113" s="27"/>
      <c r="N1113" s="23"/>
      <c r="O1113" s="28"/>
    </row>
    <row r="1114" spans="2:15" s="22" customFormat="1" ht="45.75" customHeight="1">
      <c r="B1114" s="23"/>
      <c r="C1114" s="23"/>
      <c r="E1114" s="24"/>
      <c r="G1114" s="25"/>
      <c r="I1114" s="26"/>
      <c r="J1114" s="27"/>
      <c r="K1114" s="27"/>
      <c r="L1114" s="27"/>
      <c r="M1114" s="27"/>
      <c r="N1114" s="23"/>
      <c r="O1114" s="28"/>
    </row>
    <row r="1115" spans="2:15" s="22" customFormat="1" ht="45.75" customHeight="1">
      <c r="B1115" s="23"/>
      <c r="C1115" s="23"/>
      <c r="E1115" s="24"/>
      <c r="G1115" s="25"/>
      <c r="I1115" s="26"/>
      <c r="J1115" s="27"/>
      <c r="K1115" s="27"/>
      <c r="L1115" s="27"/>
      <c r="M1115" s="27"/>
      <c r="N1115" s="23"/>
      <c r="O1115" s="28"/>
    </row>
    <row r="1116" spans="2:15" s="22" customFormat="1" ht="45.75" customHeight="1">
      <c r="B1116" s="23"/>
      <c r="C1116" s="23"/>
      <c r="E1116" s="24"/>
      <c r="G1116" s="25"/>
      <c r="I1116" s="26"/>
      <c r="J1116" s="27"/>
      <c r="K1116" s="27"/>
      <c r="L1116" s="27"/>
      <c r="M1116" s="27"/>
      <c r="N1116" s="23"/>
      <c r="O1116" s="28"/>
    </row>
    <row r="1117" spans="2:15" s="22" customFormat="1" ht="45.75" customHeight="1">
      <c r="B1117" s="23"/>
      <c r="C1117" s="23"/>
      <c r="E1117" s="24"/>
      <c r="G1117" s="25"/>
      <c r="I1117" s="26"/>
      <c r="J1117" s="27"/>
      <c r="K1117" s="27"/>
      <c r="L1117" s="27"/>
      <c r="M1117" s="27"/>
      <c r="N1117" s="23"/>
      <c r="O1117" s="28"/>
    </row>
    <row r="1118" spans="2:15" s="22" customFormat="1" ht="45.75" customHeight="1">
      <c r="B1118" s="23"/>
      <c r="C1118" s="23"/>
      <c r="E1118" s="24"/>
      <c r="G1118" s="25"/>
      <c r="I1118" s="26"/>
      <c r="J1118" s="27"/>
      <c r="K1118" s="27"/>
      <c r="L1118" s="27"/>
      <c r="M1118" s="27"/>
      <c r="N1118" s="23"/>
      <c r="O1118" s="28"/>
    </row>
    <row r="1119" spans="2:15" s="22" customFormat="1" ht="45.75" customHeight="1">
      <c r="B1119" s="23"/>
      <c r="C1119" s="23"/>
      <c r="E1119" s="24"/>
      <c r="G1119" s="25"/>
      <c r="I1119" s="26"/>
      <c r="J1119" s="27"/>
      <c r="K1119" s="27"/>
      <c r="L1119" s="27"/>
      <c r="M1119" s="27"/>
      <c r="N1119" s="23"/>
      <c r="O1119" s="28"/>
    </row>
    <row r="1120" spans="2:15" s="22" customFormat="1" ht="45.75" customHeight="1">
      <c r="B1120" s="23"/>
      <c r="C1120" s="23"/>
      <c r="E1120" s="24"/>
      <c r="G1120" s="25"/>
      <c r="I1120" s="26"/>
      <c r="J1120" s="27"/>
      <c r="K1120" s="27"/>
      <c r="L1120" s="27"/>
      <c r="M1120" s="27"/>
      <c r="N1120" s="23"/>
      <c r="O1120" s="28"/>
    </row>
    <row r="1121" spans="2:15" s="22" customFormat="1" ht="45.75" customHeight="1">
      <c r="B1121" s="23"/>
      <c r="C1121" s="23"/>
      <c r="E1121" s="24"/>
      <c r="G1121" s="25"/>
      <c r="I1121" s="26"/>
      <c r="J1121" s="27"/>
      <c r="K1121" s="27"/>
      <c r="L1121" s="27"/>
      <c r="M1121" s="27"/>
      <c r="N1121" s="23"/>
      <c r="O1121" s="28"/>
    </row>
    <row r="1122" spans="2:15" s="22" customFormat="1" ht="45.75" customHeight="1">
      <c r="B1122" s="23"/>
      <c r="C1122" s="23"/>
      <c r="E1122" s="24"/>
      <c r="G1122" s="25"/>
      <c r="I1122" s="26"/>
      <c r="J1122" s="27"/>
      <c r="K1122" s="27"/>
      <c r="L1122" s="27"/>
      <c r="M1122" s="27"/>
      <c r="N1122" s="23"/>
      <c r="O1122" s="28"/>
    </row>
    <row r="1123" spans="2:15" s="22" customFormat="1" ht="45.75" customHeight="1">
      <c r="B1123" s="23"/>
      <c r="C1123" s="23"/>
      <c r="E1123" s="24"/>
      <c r="G1123" s="25"/>
      <c r="I1123" s="26"/>
      <c r="J1123" s="27"/>
      <c r="K1123" s="27"/>
      <c r="L1123" s="27"/>
      <c r="M1123" s="27"/>
      <c r="N1123" s="23"/>
      <c r="O1123" s="28"/>
    </row>
    <row r="1124" spans="2:15" s="22" customFormat="1" ht="45.75" customHeight="1">
      <c r="B1124" s="23"/>
      <c r="C1124" s="23"/>
      <c r="E1124" s="24"/>
      <c r="G1124" s="25"/>
      <c r="I1124" s="26"/>
      <c r="J1124" s="27"/>
      <c r="K1124" s="27"/>
      <c r="L1124" s="27"/>
      <c r="M1124" s="27"/>
      <c r="N1124" s="23"/>
      <c r="O1124" s="28"/>
    </row>
    <row r="1125" spans="2:15" s="22" customFormat="1" ht="45.75" customHeight="1">
      <c r="B1125" s="23"/>
      <c r="C1125" s="23"/>
      <c r="E1125" s="24"/>
      <c r="G1125" s="25"/>
      <c r="I1125" s="26"/>
      <c r="J1125" s="27"/>
      <c r="K1125" s="27"/>
      <c r="L1125" s="27"/>
      <c r="M1125" s="27"/>
      <c r="N1125" s="23"/>
      <c r="O1125" s="28"/>
    </row>
    <row r="1126" spans="2:15" s="22" customFormat="1" ht="45.75" customHeight="1">
      <c r="B1126" s="23"/>
      <c r="C1126" s="23"/>
      <c r="E1126" s="24"/>
      <c r="G1126" s="25"/>
      <c r="I1126" s="26"/>
      <c r="J1126" s="27"/>
      <c r="K1126" s="27"/>
      <c r="L1126" s="27"/>
      <c r="M1126" s="27"/>
      <c r="N1126" s="23"/>
      <c r="O1126" s="28"/>
    </row>
    <row r="1127" spans="2:15" s="22" customFormat="1" ht="45.75" customHeight="1">
      <c r="B1127" s="23"/>
      <c r="C1127" s="23"/>
      <c r="E1127" s="24"/>
      <c r="G1127" s="25"/>
      <c r="I1127" s="26"/>
      <c r="J1127" s="27"/>
      <c r="K1127" s="27"/>
      <c r="L1127" s="27"/>
      <c r="M1127" s="27"/>
      <c r="N1127" s="23"/>
      <c r="O1127" s="28"/>
    </row>
    <row r="1128" spans="2:15" s="22" customFormat="1" ht="45.75" customHeight="1">
      <c r="B1128" s="23"/>
      <c r="C1128" s="23"/>
      <c r="E1128" s="24"/>
      <c r="G1128" s="25"/>
      <c r="I1128" s="26"/>
      <c r="J1128" s="27"/>
      <c r="K1128" s="27"/>
      <c r="L1128" s="27"/>
      <c r="M1128" s="27"/>
      <c r="N1128" s="23"/>
      <c r="O1128" s="28"/>
    </row>
    <row r="1129" spans="2:15" s="22" customFormat="1" ht="45.75" customHeight="1">
      <c r="B1129" s="23"/>
      <c r="C1129" s="23"/>
      <c r="E1129" s="24"/>
      <c r="G1129" s="25"/>
      <c r="I1129" s="26"/>
      <c r="J1129" s="27"/>
      <c r="K1129" s="27"/>
      <c r="L1129" s="27"/>
      <c r="M1129" s="27"/>
      <c r="N1129" s="23"/>
      <c r="O1129" s="28"/>
    </row>
    <row r="1130" spans="2:15" s="22" customFormat="1" ht="45.75" customHeight="1">
      <c r="B1130" s="23"/>
      <c r="C1130" s="23"/>
      <c r="E1130" s="24"/>
      <c r="G1130" s="25"/>
      <c r="I1130" s="26"/>
      <c r="J1130" s="27"/>
      <c r="K1130" s="27"/>
      <c r="L1130" s="27"/>
      <c r="M1130" s="27"/>
      <c r="N1130" s="23"/>
      <c r="O1130" s="28"/>
    </row>
    <row r="1131" spans="2:15" s="22" customFormat="1" ht="45.75" customHeight="1">
      <c r="B1131" s="23"/>
      <c r="C1131" s="23"/>
      <c r="E1131" s="24"/>
      <c r="G1131" s="25"/>
      <c r="I1131" s="26"/>
      <c r="J1131" s="27"/>
      <c r="K1131" s="27"/>
      <c r="L1131" s="27"/>
      <c r="M1131" s="27"/>
      <c r="N1131" s="23"/>
      <c r="O1131" s="28"/>
    </row>
    <row r="1132" spans="2:15" s="22" customFormat="1" ht="45.75" customHeight="1">
      <c r="B1132" s="23"/>
      <c r="C1132" s="23"/>
      <c r="E1132" s="24"/>
      <c r="G1132" s="25"/>
      <c r="I1132" s="26"/>
      <c r="J1132" s="27"/>
      <c r="K1132" s="27"/>
      <c r="L1132" s="27"/>
      <c r="M1132" s="27"/>
      <c r="N1132" s="23"/>
      <c r="O1132" s="28"/>
    </row>
    <row r="1133" spans="2:15" s="22" customFormat="1" ht="45.75" customHeight="1">
      <c r="B1133" s="23"/>
      <c r="C1133" s="23"/>
      <c r="E1133" s="24"/>
      <c r="G1133" s="25"/>
      <c r="I1133" s="26"/>
      <c r="J1133" s="27"/>
      <c r="K1133" s="27"/>
      <c r="L1133" s="27"/>
      <c r="M1133" s="27"/>
      <c r="N1133" s="23"/>
      <c r="O1133" s="28"/>
    </row>
    <row r="1134" spans="2:15" s="22" customFormat="1" ht="45.75" customHeight="1">
      <c r="B1134" s="23"/>
      <c r="C1134" s="23"/>
      <c r="E1134" s="24"/>
      <c r="G1134" s="25"/>
      <c r="I1134" s="26"/>
      <c r="J1134" s="27"/>
      <c r="K1134" s="27"/>
      <c r="L1134" s="27"/>
      <c r="M1134" s="27"/>
      <c r="N1134" s="23"/>
      <c r="O1134" s="28"/>
    </row>
    <row r="1135" spans="2:15" s="22" customFormat="1" ht="45.75" customHeight="1">
      <c r="B1135" s="23"/>
      <c r="C1135" s="23"/>
      <c r="E1135" s="24"/>
      <c r="G1135" s="25"/>
      <c r="I1135" s="26"/>
      <c r="J1135" s="27"/>
      <c r="K1135" s="27"/>
      <c r="L1135" s="27"/>
      <c r="M1135" s="27"/>
      <c r="N1135" s="23"/>
      <c r="O1135" s="28"/>
    </row>
    <row r="1136" spans="2:15" s="22" customFormat="1" ht="45.75" customHeight="1">
      <c r="B1136" s="23"/>
      <c r="C1136" s="23"/>
      <c r="E1136" s="24"/>
      <c r="G1136" s="25"/>
      <c r="I1136" s="26"/>
      <c r="J1136" s="27"/>
      <c r="K1136" s="27"/>
      <c r="L1136" s="27"/>
      <c r="M1136" s="27"/>
      <c r="N1136" s="23"/>
      <c r="O1136" s="28"/>
    </row>
    <row r="1137" spans="2:15" s="22" customFormat="1" ht="45.75" customHeight="1">
      <c r="B1137" s="23"/>
      <c r="C1137" s="23"/>
      <c r="E1137" s="24"/>
      <c r="G1137" s="25"/>
      <c r="I1137" s="26"/>
      <c r="J1137" s="27"/>
      <c r="K1137" s="27"/>
      <c r="L1137" s="27"/>
      <c r="M1137" s="27"/>
      <c r="N1137" s="23"/>
      <c r="O1137" s="28"/>
    </row>
    <row r="1138" spans="2:15" s="22" customFormat="1" ht="45.75" customHeight="1">
      <c r="B1138" s="23"/>
      <c r="C1138" s="23"/>
      <c r="E1138" s="24"/>
      <c r="G1138" s="25"/>
      <c r="I1138" s="26"/>
      <c r="J1138" s="27"/>
      <c r="K1138" s="27"/>
      <c r="L1138" s="27"/>
      <c r="M1138" s="27"/>
      <c r="N1138" s="23"/>
      <c r="O1138" s="28"/>
    </row>
    <row r="1139" spans="2:15" s="22" customFormat="1" ht="45.75" customHeight="1">
      <c r="B1139" s="23"/>
      <c r="C1139" s="23"/>
      <c r="E1139" s="24"/>
      <c r="G1139" s="25"/>
      <c r="I1139" s="26"/>
      <c r="J1139" s="27"/>
      <c r="K1139" s="27"/>
      <c r="L1139" s="27"/>
      <c r="M1139" s="27"/>
      <c r="N1139" s="23"/>
      <c r="O1139" s="28"/>
    </row>
    <row r="1140" spans="2:15" s="22" customFormat="1" ht="45.75" customHeight="1">
      <c r="B1140" s="23"/>
      <c r="C1140" s="23"/>
      <c r="E1140" s="24"/>
      <c r="G1140" s="25"/>
      <c r="I1140" s="26"/>
      <c r="J1140" s="27"/>
      <c r="K1140" s="27"/>
      <c r="L1140" s="27"/>
      <c r="M1140" s="27"/>
      <c r="N1140" s="23"/>
      <c r="O1140" s="28"/>
    </row>
    <row r="1141" spans="2:15" s="22" customFormat="1" ht="45.75" customHeight="1">
      <c r="B1141" s="23"/>
      <c r="C1141" s="23"/>
      <c r="E1141" s="24"/>
      <c r="G1141" s="25"/>
      <c r="I1141" s="26"/>
      <c r="J1141" s="27"/>
      <c r="K1141" s="27"/>
      <c r="L1141" s="27"/>
      <c r="M1141" s="27"/>
      <c r="N1141" s="23"/>
      <c r="O1141" s="28"/>
    </row>
    <row r="1142" spans="2:15" s="22" customFormat="1" ht="45.75" customHeight="1">
      <c r="B1142" s="23"/>
      <c r="C1142" s="23"/>
      <c r="E1142" s="24"/>
      <c r="G1142" s="25"/>
      <c r="I1142" s="26"/>
      <c r="J1142" s="27"/>
      <c r="K1142" s="27"/>
      <c r="L1142" s="27"/>
      <c r="M1142" s="27"/>
      <c r="N1142" s="23"/>
      <c r="O1142" s="28"/>
    </row>
    <row r="1143" spans="2:15" s="22" customFormat="1" ht="45.75" customHeight="1">
      <c r="B1143" s="23"/>
      <c r="C1143" s="23"/>
      <c r="E1143" s="24"/>
      <c r="G1143" s="25"/>
      <c r="I1143" s="26"/>
      <c r="J1143" s="27"/>
      <c r="K1143" s="27"/>
      <c r="L1143" s="27"/>
      <c r="M1143" s="27"/>
      <c r="N1143" s="23"/>
      <c r="O1143" s="28"/>
    </row>
    <row r="1144" spans="2:15" s="22" customFormat="1" ht="45.75" customHeight="1">
      <c r="B1144" s="23"/>
      <c r="C1144" s="23"/>
      <c r="E1144" s="24"/>
      <c r="G1144" s="25"/>
      <c r="I1144" s="26"/>
      <c r="J1144" s="27"/>
      <c r="K1144" s="27"/>
      <c r="L1144" s="27"/>
      <c r="M1144" s="27"/>
      <c r="N1144" s="23"/>
      <c r="O1144" s="28"/>
    </row>
    <row r="1145" spans="2:15" s="22" customFormat="1" ht="45.75" customHeight="1">
      <c r="B1145" s="23"/>
      <c r="C1145" s="23"/>
      <c r="E1145" s="24"/>
      <c r="G1145" s="25"/>
      <c r="I1145" s="26"/>
      <c r="J1145" s="27"/>
      <c r="K1145" s="27"/>
      <c r="L1145" s="27"/>
      <c r="M1145" s="27"/>
      <c r="N1145" s="23"/>
      <c r="O1145" s="28"/>
    </row>
    <row r="1146" spans="2:15" s="22" customFormat="1" ht="45.75" customHeight="1">
      <c r="B1146" s="23"/>
      <c r="C1146" s="23"/>
      <c r="E1146" s="24"/>
      <c r="G1146" s="25"/>
      <c r="I1146" s="26"/>
      <c r="J1146" s="27"/>
      <c r="K1146" s="27"/>
      <c r="L1146" s="27"/>
      <c r="M1146" s="27"/>
      <c r="N1146" s="23"/>
      <c r="O1146" s="28"/>
    </row>
    <row r="1147" spans="2:15" s="22" customFormat="1" ht="45.75" customHeight="1">
      <c r="B1147" s="23"/>
      <c r="C1147" s="23"/>
      <c r="E1147" s="24"/>
      <c r="G1147" s="25"/>
      <c r="I1147" s="26"/>
      <c r="J1147" s="27"/>
      <c r="K1147" s="27"/>
      <c r="L1147" s="27"/>
      <c r="M1147" s="27"/>
      <c r="N1147" s="23"/>
      <c r="O1147" s="28"/>
    </row>
    <row r="1148" spans="2:15" s="22" customFormat="1" ht="45.75" customHeight="1">
      <c r="B1148" s="23"/>
      <c r="C1148" s="23"/>
      <c r="E1148" s="24"/>
      <c r="G1148" s="25"/>
      <c r="I1148" s="26"/>
      <c r="J1148" s="27"/>
      <c r="K1148" s="27"/>
      <c r="L1148" s="27"/>
      <c r="M1148" s="27"/>
      <c r="N1148" s="23"/>
      <c r="O1148" s="28"/>
    </row>
    <row r="1149" spans="2:15" s="22" customFormat="1" ht="45.75" customHeight="1">
      <c r="B1149" s="23"/>
      <c r="C1149" s="23"/>
      <c r="E1149" s="24"/>
      <c r="G1149" s="25"/>
      <c r="I1149" s="26"/>
      <c r="J1149" s="27"/>
      <c r="K1149" s="27"/>
      <c r="L1149" s="27"/>
      <c r="M1149" s="27"/>
      <c r="N1149" s="23"/>
      <c r="O1149" s="28"/>
    </row>
    <row r="1150" spans="2:15" s="22" customFormat="1" ht="45.75" customHeight="1">
      <c r="B1150" s="23"/>
      <c r="C1150" s="23"/>
      <c r="E1150" s="24"/>
      <c r="G1150" s="25"/>
      <c r="I1150" s="26"/>
      <c r="J1150" s="27"/>
      <c r="K1150" s="27"/>
      <c r="L1150" s="27"/>
      <c r="M1150" s="27"/>
      <c r="N1150" s="23"/>
      <c r="O1150" s="28"/>
    </row>
    <row r="1151" spans="2:15" s="22" customFormat="1" ht="45.75" customHeight="1">
      <c r="B1151" s="23"/>
      <c r="C1151" s="23"/>
      <c r="E1151" s="24"/>
      <c r="G1151" s="25"/>
      <c r="I1151" s="26"/>
      <c r="J1151" s="27"/>
      <c r="K1151" s="27"/>
      <c r="L1151" s="27"/>
      <c r="M1151" s="27"/>
      <c r="N1151" s="23"/>
      <c r="O1151" s="28"/>
    </row>
    <row r="1152" spans="2:15" s="22" customFormat="1" ht="45.75" customHeight="1">
      <c r="B1152" s="23"/>
      <c r="C1152" s="23"/>
      <c r="E1152" s="24"/>
      <c r="G1152" s="25"/>
      <c r="I1152" s="26"/>
      <c r="J1152" s="27"/>
      <c r="K1152" s="27"/>
      <c r="L1152" s="27"/>
      <c r="M1152" s="27"/>
      <c r="N1152" s="23"/>
      <c r="O1152" s="28"/>
    </row>
    <row r="1153" spans="2:15" s="22" customFormat="1" ht="45.75" customHeight="1">
      <c r="B1153" s="23"/>
      <c r="C1153" s="23"/>
      <c r="E1153" s="24"/>
      <c r="G1153" s="25"/>
      <c r="I1153" s="26"/>
      <c r="J1153" s="27"/>
      <c r="K1153" s="27"/>
      <c r="L1153" s="27"/>
      <c r="M1153" s="27"/>
      <c r="N1153" s="23"/>
      <c r="O1153" s="28"/>
    </row>
    <row r="1154" spans="2:15" s="22" customFormat="1" ht="45.75" customHeight="1">
      <c r="B1154" s="23"/>
      <c r="C1154" s="23"/>
      <c r="E1154" s="24"/>
      <c r="G1154" s="25"/>
      <c r="I1154" s="26"/>
      <c r="J1154" s="27"/>
      <c r="K1154" s="27"/>
      <c r="L1154" s="27"/>
      <c r="M1154" s="27"/>
      <c r="N1154" s="23"/>
      <c r="O1154" s="28"/>
    </row>
    <row r="1155" spans="2:15" s="22" customFormat="1" ht="45.75" customHeight="1">
      <c r="B1155" s="23"/>
      <c r="C1155" s="23"/>
      <c r="E1155" s="24"/>
      <c r="G1155" s="25"/>
      <c r="I1155" s="26"/>
      <c r="J1155" s="27"/>
      <c r="K1155" s="27"/>
      <c r="L1155" s="27"/>
      <c r="M1155" s="27"/>
      <c r="N1155" s="23"/>
      <c r="O1155" s="28"/>
    </row>
    <row r="1156" spans="2:15" s="22" customFormat="1" ht="45.75" customHeight="1">
      <c r="B1156" s="23"/>
      <c r="C1156" s="23"/>
      <c r="E1156" s="24"/>
      <c r="G1156" s="25"/>
      <c r="I1156" s="26"/>
      <c r="J1156" s="27"/>
      <c r="K1156" s="27"/>
      <c r="L1156" s="27"/>
      <c r="M1156" s="27"/>
      <c r="N1156" s="23"/>
      <c r="O1156" s="28"/>
    </row>
    <row r="1157" spans="2:15" s="22" customFormat="1" ht="45.75" customHeight="1">
      <c r="B1157" s="23"/>
      <c r="C1157" s="23"/>
      <c r="E1157" s="24"/>
      <c r="G1157" s="25"/>
      <c r="I1157" s="26"/>
      <c r="J1157" s="27"/>
      <c r="K1157" s="27"/>
      <c r="L1157" s="27"/>
      <c r="M1157" s="27"/>
      <c r="N1157" s="23"/>
      <c r="O1157" s="28"/>
    </row>
    <row r="1158" spans="2:15" s="22" customFormat="1" ht="45.75" customHeight="1">
      <c r="B1158" s="23"/>
      <c r="C1158" s="23"/>
      <c r="E1158" s="24"/>
      <c r="G1158" s="25"/>
      <c r="I1158" s="26"/>
      <c r="J1158" s="27"/>
      <c r="K1158" s="27"/>
      <c r="L1158" s="27"/>
      <c r="M1158" s="27"/>
      <c r="N1158" s="23"/>
      <c r="O1158" s="28"/>
    </row>
    <row r="1159" spans="2:15" s="22" customFormat="1" ht="45.75" customHeight="1">
      <c r="B1159" s="23"/>
      <c r="C1159" s="23"/>
      <c r="E1159" s="24"/>
      <c r="G1159" s="25"/>
      <c r="I1159" s="26"/>
      <c r="J1159" s="27"/>
      <c r="K1159" s="27"/>
      <c r="L1159" s="27"/>
      <c r="M1159" s="27"/>
      <c r="N1159" s="23"/>
      <c r="O1159" s="28"/>
    </row>
    <row r="1160" spans="2:15" s="22" customFormat="1" ht="45.75" customHeight="1">
      <c r="B1160" s="23"/>
      <c r="C1160" s="23"/>
      <c r="E1160" s="24"/>
      <c r="G1160" s="25"/>
      <c r="I1160" s="26"/>
      <c r="J1160" s="27"/>
      <c r="K1160" s="27"/>
      <c r="L1160" s="27"/>
      <c r="M1160" s="27"/>
      <c r="N1160" s="23"/>
      <c r="O1160" s="28"/>
    </row>
    <row r="1161" spans="2:15" s="22" customFormat="1" ht="45.75" customHeight="1">
      <c r="B1161" s="23"/>
      <c r="C1161" s="23"/>
      <c r="E1161" s="24"/>
      <c r="G1161" s="25"/>
      <c r="I1161" s="26"/>
      <c r="J1161" s="27"/>
      <c r="K1161" s="27"/>
      <c r="L1161" s="27"/>
      <c r="M1161" s="27"/>
      <c r="N1161" s="23"/>
      <c r="O1161" s="28"/>
    </row>
    <row r="1162" spans="2:15" s="22" customFormat="1" ht="45.75" customHeight="1">
      <c r="B1162" s="23"/>
      <c r="C1162" s="23"/>
      <c r="E1162" s="24"/>
      <c r="G1162" s="25"/>
      <c r="I1162" s="26"/>
      <c r="J1162" s="27"/>
      <c r="K1162" s="27"/>
      <c r="L1162" s="27"/>
      <c r="M1162" s="27"/>
      <c r="N1162" s="23"/>
      <c r="O1162" s="28"/>
    </row>
    <row r="1163" spans="2:15" s="22" customFormat="1" ht="45.75" customHeight="1">
      <c r="B1163" s="23"/>
      <c r="C1163" s="23"/>
      <c r="E1163" s="24"/>
      <c r="G1163" s="25"/>
      <c r="I1163" s="26"/>
      <c r="J1163" s="27"/>
      <c r="K1163" s="27"/>
      <c r="L1163" s="27"/>
      <c r="M1163" s="27"/>
      <c r="N1163" s="23"/>
      <c r="O1163" s="28"/>
    </row>
    <row r="1164" spans="2:15" s="22" customFormat="1" ht="45.75" customHeight="1">
      <c r="B1164" s="23"/>
      <c r="C1164" s="23"/>
      <c r="E1164" s="24"/>
      <c r="G1164" s="25"/>
      <c r="I1164" s="26"/>
      <c r="J1164" s="27"/>
      <c r="K1164" s="27"/>
      <c r="L1164" s="27"/>
      <c r="M1164" s="27"/>
      <c r="N1164" s="23"/>
      <c r="O1164" s="28"/>
    </row>
    <row r="1165" spans="2:15" s="22" customFormat="1" ht="45.75" customHeight="1">
      <c r="B1165" s="23"/>
      <c r="C1165" s="23"/>
      <c r="E1165" s="24"/>
      <c r="G1165" s="25"/>
      <c r="I1165" s="26"/>
      <c r="J1165" s="27"/>
      <c r="K1165" s="27"/>
      <c r="L1165" s="27"/>
      <c r="M1165" s="27"/>
      <c r="N1165" s="23"/>
      <c r="O1165" s="28"/>
    </row>
    <row r="1166" spans="2:15" s="22" customFormat="1" ht="45.75" customHeight="1">
      <c r="B1166" s="23"/>
      <c r="C1166" s="23"/>
      <c r="E1166" s="24"/>
      <c r="G1166" s="25"/>
      <c r="I1166" s="26"/>
      <c r="J1166" s="27"/>
      <c r="K1166" s="27"/>
      <c r="L1166" s="27"/>
      <c r="M1166" s="27"/>
      <c r="N1166" s="23"/>
      <c r="O1166" s="28"/>
    </row>
    <row r="1167" spans="2:15" s="22" customFormat="1" ht="45.75" customHeight="1">
      <c r="B1167" s="23"/>
      <c r="C1167" s="23"/>
      <c r="E1167" s="24"/>
      <c r="G1167" s="25"/>
      <c r="I1167" s="26"/>
      <c r="J1167" s="27"/>
      <c r="K1167" s="27"/>
      <c r="L1167" s="27"/>
      <c r="M1167" s="27"/>
      <c r="N1167" s="23"/>
      <c r="O1167" s="28"/>
    </row>
    <row r="1168" spans="2:15" s="22" customFormat="1" ht="45.75" customHeight="1">
      <c r="B1168" s="23"/>
      <c r="C1168" s="23"/>
      <c r="E1168" s="24"/>
      <c r="G1168" s="25"/>
      <c r="I1168" s="26"/>
      <c r="J1168" s="27"/>
      <c r="K1168" s="27"/>
      <c r="L1168" s="27"/>
      <c r="M1168" s="27"/>
      <c r="N1168" s="23"/>
      <c r="O1168" s="28"/>
    </row>
    <row r="1169" spans="2:15" s="22" customFormat="1" ht="45.75" customHeight="1">
      <c r="B1169" s="23"/>
      <c r="C1169" s="23"/>
      <c r="E1169" s="24"/>
      <c r="G1169" s="25"/>
      <c r="I1169" s="26"/>
      <c r="J1169" s="27"/>
      <c r="K1169" s="27"/>
      <c r="L1169" s="27"/>
      <c r="M1169" s="27"/>
      <c r="N1169" s="23"/>
      <c r="O1169" s="28"/>
    </row>
    <row r="1170" spans="2:15" s="22" customFormat="1" ht="45.75" customHeight="1">
      <c r="B1170" s="23"/>
      <c r="C1170" s="23"/>
      <c r="E1170" s="24"/>
      <c r="G1170" s="25"/>
      <c r="I1170" s="26"/>
      <c r="J1170" s="27"/>
      <c r="K1170" s="27"/>
      <c r="L1170" s="27"/>
      <c r="M1170" s="27"/>
      <c r="N1170" s="23"/>
      <c r="O1170" s="28"/>
    </row>
    <row r="1171" spans="2:15" s="22" customFormat="1" ht="45.75" customHeight="1">
      <c r="B1171" s="23"/>
      <c r="C1171" s="23"/>
      <c r="E1171" s="24"/>
      <c r="G1171" s="25"/>
      <c r="I1171" s="26"/>
      <c r="J1171" s="27"/>
      <c r="K1171" s="27"/>
      <c r="L1171" s="27"/>
      <c r="M1171" s="27"/>
      <c r="N1171" s="23"/>
      <c r="O1171" s="28"/>
    </row>
    <row r="1172" spans="2:15" s="22" customFormat="1" ht="45.75" customHeight="1">
      <c r="B1172" s="23"/>
      <c r="C1172" s="23"/>
      <c r="E1172" s="24"/>
      <c r="G1172" s="25"/>
      <c r="I1172" s="26"/>
      <c r="J1172" s="27"/>
      <c r="K1172" s="27"/>
      <c r="L1172" s="27"/>
      <c r="M1172" s="27"/>
      <c r="N1172" s="23"/>
      <c r="O1172" s="28"/>
    </row>
    <row r="1173" spans="2:15" s="22" customFormat="1" ht="45.75" customHeight="1">
      <c r="B1173" s="23"/>
      <c r="C1173" s="23"/>
      <c r="E1173" s="24"/>
      <c r="G1173" s="25"/>
      <c r="I1173" s="26"/>
      <c r="J1173" s="27"/>
      <c r="K1173" s="27"/>
      <c r="L1173" s="27"/>
      <c r="M1173" s="27"/>
      <c r="N1173" s="23"/>
      <c r="O1173" s="28"/>
    </row>
    <row r="1174" spans="2:15" s="22" customFormat="1" ht="45.75" customHeight="1">
      <c r="B1174" s="23"/>
      <c r="C1174" s="23"/>
      <c r="E1174" s="24"/>
      <c r="G1174" s="25"/>
      <c r="I1174" s="26"/>
      <c r="J1174" s="27"/>
      <c r="K1174" s="27"/>
      <c r="L1174" s="27"/>
      <c r="M1174" s="27"/>
      <c r="N1174" s="23"/>
      <c r="O1174" s="28"/>
    </row>
    <row r="1175" spans="2:15" s="22" customFormat="1" ht="45.75" customHeight="1">
      <c r="B1175" s="23"/>
      <c r="C1175" s="23"/>
      <c r="E1175" s="24"/>
      <c r="G1175" s="25"/>
      <c r="I1175" s="26"/>
      <c r="J1175" s="27"/>
      <c r="K1175" s="27"/>
      <c r="L1175" s="27"/>
      <c r="M1175" s="27"/>
      <c r="N1175" s="23"/>
      <c r="O1175" s="28"/>
    </row>
    <row r="1176" spans="2:15" s="22" customFormat="1" ht="45.75" customHeight="1">
      <c r="B1176" s="23"/>
      <c r="C1176" s="23"/>
      <c r="E1176" s="24"/>
      <c r="G1176" s="25"/>
      <c r="I1176" s="26"/>
      <c r="J1176" s="27"/>
      <c r="K1176" s="27"/>
      <c r="L1176" s="27"/>
      <c r="M1176" s="27"/>
      <c r="N1176" s="23"/>
      <c r="O1176" s="28"/>
    </row>
    <row r="1177" spans="2:15" s="22" customFormat="1" ht="45.75" customHeight="1">
      <c r="B1177" s="23"/>
      <c r="C1177" s="23"/>
      <c r="E1177" s="24"/>
      <c r="G1177" s="25"/>
      <c r="I1177" s="26"/>
      <c r="J1177" s="27"/>
      <c r="K1177" s="27"/>
      <c r="L1177" s="27"/>
      <c r="M1177" s="27"/>
      <c r="N1177" s="23"/>
      <c r="O1177" s="28"/>
    </row>
    <row r="1178" spans="2:15" s="22" customFormat="1" ht="45.75" customHeight="1">
      <c r="B1178" s="23"/>
      <c r="C1178" s="23"/>
      <c r="E1178" s="24"/>
      <c r="G1178" s="25"/>
      <c r="I1178" s="26"/>
      <c r="J1178" s="27"/>
      <c r="K1178" s="27"/>
      <c r="L1178" s="27"/>
      <c r="M1178" s="27"/>
      <c r="N1178" s="23"/>
      <c r="O1178" s="28"/>
    </row>
    <row r="1179" spans="2:15" s="22" customFormat="1" ht="45.75" customHeight="1">
      <c r="B1179" s="23"/>
      <c r="C1179" s="23"/>
      <c r="E1179" s="24"/>
      <c r="G1179" s="25"/>
      <c r="I1179" s="26"/>
      <c r="J1179" s="27"/>
      <c r="K1179" s="27"/>
      <c r="L1179" s="27"/>
      <c r="M1179" s="27"/>
      <c r="N1179" s="23"/>
      <c r="O1179" s="28"/>
    </row>
    <row r="1180" spans="2:15" s="22" customFormat="1" ht="45.75" customHeight="1">
      <c r="B1180" s="23"/>
      <c r="C1180" s="23"/>
      <c r="E1180" s="24"/>
      <c r="G1180" s="25"/>
      <c r="I1180" s="26"/>
      <c r="J1180" s="27"/>
      <c r="K1180" s="27"/>
      <c r="L1180" s="27"/>
      <c r="M1180" s="27"/>
      <c r="N1180" s="23"/>
      <c r="O1180" s="28"/>
    </row>
    <row r="1181" spans="2:15" s="22" customFormat="1" ht="45.75" customHeight="1">
      <c r="B1181" s="23"/>
      <c r="C1181" s="23"/>
      <c r="E1181" s="24"/>
      <c r="G1181" s="25"/>
      <c r="I1181" s="26"/>
      <c r="J1181" s="27"/>
      <c r="K1181" s="27"/>
      <c r="L1181" s="27"/>
      <c r="M1181" s="27"/>
      <c r="N1181" s="23"/>
      <c r="O1181" s="28"/>
    </row>
    <row r="1182" spans="2:15" s="22" customFormat="1" ht="45.75" customHeight="1">
      <c r="B1182" s="23"/>
      <c r="C1182" s="23"/>
      <c r="E1182" s="24"/>
      <c r="G1182" s="25"/>
      <c r="I1182" s="26"/>
      <c r="J1182" s="27"/>
      <c r="K1182" s="27"/>
      <c r="L1182" s="27"/>
      <c r="M1182" s="27"/>
      <c r="N1182" s="23"/>
      <c r="O1182" s="28"/>
    </row>
    <row r="1183" spans="2:15" s="22" customFormat="1" ht="45.75" customHeight="1">
      <c r="B1183" s="23"/>
      <c r="C1183" s="23"/>
      <c r="E1183" s="24"/>
      <c r="G1183" s="25"/>
      <c r="I1183" s="26"/>
      <c r="J1183" s="27"/>
      <c r="K1183" s="27"/>
      <c r="L1183" s="27"/>
      <c r="M1183" s="27"/>
      <c r="N1183" s="23"/>
      <c r="O1183" s="28"/>
    </row>
    <row r="1184" spans="2:15" s="22" customFormat="1" ht="45.75" customHeight="1">
      <c r="B1184" s="23"/>
      <c r="C1184" s="23"/>
      <c r="E1184" s="24"/>
      <c r="G1184" s="25"/>
      <c r="I1184" s="26"/>
      <c r="J1184" s="27"/>
      <c r="K1184" s="27"/>
      <c r="L1184" s="27"/>
      <c r="M1184" s="27"/>
      <c r="N1184" s="23"/>
      <c r="O1184" s="28"/>
    </row>
    <row r="1185" spans="2:15" s="22" customFormat="1" ht="45.75" customHeight="1">
      <c r="B1185" s="23"/>
      <c r="C1185" s="23"/>
      <c r="E1185" s="24"/>
      <c r="G1185" s="25"/>
      <c r="I1185" s="26"/>
      <c r="J1185" s="27"/>
      <c r="K1185" s="27"/>
      <c r="L1185" s="27"/>
      <c r="M1185" s="27"/>
      <c r="N1185" s="23"/>
      <c r="O1185" s="28"/>
    </row>
    <row r="1186" spans="2:15" s="22" customFormat="1" ht="45.75" customHeight="1">
      <c r="B1186" s="23"/>
      <c r="C1186" s="23"/>
      <c r="E1186" s="24"/>
      <c r="G1186" s="25"/>
      <c r="I1186" s="26"/>
      <c r="J1186" s="27"/>
      <c r="K1186" s="27"/>
      <c r="L1186" s="27"/>
      <c r="M1186" s="27"/>
      <c r="N1186" s="23"/>
      <c r="O1186" s="28"/>
    </row>
    <row r="1187" spans="2:15" s="22" customFormat="1" ht="45.75" customHeight="1">
      <c r="B1187" s="23"/>
      <c r="C1187" s="23"/>
      <c r="E1187" s="24"/>
      <c r="G1187" s="25"/>
      <c r="I1187" s="26"/>
      <c r="J1187" s="27"/>
      <c r="K1187" s="27"/>
      <c r="L1187" s="27"/>
      <c r="M1187" s="27"/>
      <c r="N1187" s="23"/>
      <c r="O1187" s="28"/>
    </row>
    <row r="1188" spans="2:15" s="22" customFormat="1" ht="45.75" customHeight="1">
      <c r="B1188" s="23"/>
      <c r="C1188" s="23"/>
      <c r="E1188" s="24"/>
      <c r="G1188" s="25"/>
      <c r="I1188" s="26"/>
      <c r="J1188" s="27"/>
      <c r="K1188" s="27"/>
      <c r="L1188" s="27"/>
      <c r="M1188" s="27"/>
      <c r="N1188" s="23"/>
      <c r="O1188" s="28"/>
    </row>
    <row r="1189" spans="2:15" s="22" customFormat="1" ht="45.75" customHeight="1">
      <c r="B1189" s="23"/>
      <c r="C1189" s="23"/>
      <c r="E1189" s="24"/>
      <c r="G1189" s="25"/>
      <c r="I1189" s="26"/>
      <c r="J1189" s="27"/>
      <c r="K1189" s="27"/>
      <c r="L1189" s="27"/>
      <c r="M1189" s="27"/>
      <c r="N1189" s="23"/>
      <c r="O1189" s="28"/>
    </row>
    <row r="1190" spans="2:15" s="22" customFormat="1" ht="45.75" customHeight="1">
      <c r="B1190" s="23"/>
      <c r="C1190" s="23"/>
      <c r="E1190" s="24"/>
      <c r="G1190" s="25"/>
      <c r="I1190" s="26"/>
      <c r="J1190" s="27"/>
      <c r="K1190" s="27"/>
      <c r="L1190" s="27"/>
      <c r="M1190" s="27"/>
      <c r="N1190" s="23"/>
      <c r="O1190" s="28"/>
    </row>
    <row r="1191" spans="2:15" s="22" customFormat="1" ht="45.75" customHeight="1">
      <c r="B1191" s="23"/>
      <c r="C1191" s="23"/>
      <c r="E1191" s="24"/>
      <c r="G1191" s="25"/>
      <c r="I1191" s="26"/>
      <c r="J1191" s="27"/>
      <c r="K1191" s="27"/>
      <c r="L1191" s="27"/>
      <c r="M1191" s="27"/>
      <c r="N1191" s="23"/>
      <c r="O1191" s="28"/>
    </row>
    <row r="1192" spans="2:15" s="22" customFormat="1" ht="45.75" customHeight="1">
      <c r="B1192" s="23"/>
      <c r="C1192" s="23"/>
      <c r="E1192" s="24"/>
      <c r="G1192" s="25"/>
      <c r="I1192" s="26"/>
      <c r="J1192" s="27"/>
      <c r="K1192" s="27"/>
      <c r="L1192" s="27"/>
      <c r="M1192" s="27"/>
      <c r="N1192" s="23"/>
      <c r="O1192" s="28"/>
    </row>
    <row r="1193" spans="2:15" s="22" customFormat="1" ht="45.75" customHeight="1">
      <c r="B1193" s="23"/>
      <c r="C1193" s="23"/>
      <c r="E1193" s="24"/>
      <c r="G1193" s="25"/>
      <c r="I1193" s="26"/>
      <c r="J1193" s="27"/>
      <c r="K1193" s="27"/>
      <c r="L1193" s="27"/>
      <c r="M1193" s="27"/>
      <c r="N1193" s="23"/>
      <c r="O1193" s="28"/>
    </row>
    <row r="1194" spans="2:15" s="22" customFormat="1" ht="45.75" customHeight="1">
      <c r="B1194" s="23"/>
      <c r="C1194" s="23"/>
      <c r="E1194" s="24"/>
      <c r="G1194" s="25"/>
      <c r="I1194" s="26"/>
      <c r="J1194" s="27"/>
      <c r="K1194" s="27"/>
      <c r="L1194" s="27"/>
      <c r="M1194" s="27"/>
      <c r="N1194" s="23"/>
      <c r="O1194" s="28"/>
    </row>
    <row r="1195" spans="2:15" s="22" customFormat="1" ht="45.75" customHeight="1">
      <c r="B1195" s="23"/>
      <c r="C1195" s="23"/>
      <c r="E1195" s="24"/>
      <c r="G1195" s="25"/>
      <c r="I1195" s="26"/>
      <c r="J1195" s="27"/>
      <c r="K1195" s="27"/>
      <c r="L1195" s="27"/>
      <c r="M1195" s="27"/>
      <c r="N1195" s="23"/>
      <c r="O1195" s="28"/>
    </row>
    <row r="1196" spans="2:15" s="22" customFormat="1" ht="45.75" customHeight="1">
      <c r="B1196" s="23"/>
      <c r="C1196" s="23"/>
      <c r="E1196" s="24"/>
      <c r="G1196" s="25"/>
      <c r="I1196" s="26"/>
      <c r="J1196" s="27"/>
      <c r="K1196" s="27"/>
      <c r="L1196" s="27"/>
      <c r="M1196" s="27"/>
      <c r="N1196" s="23"/>
      <c r="O1196" s="28"/>
    </row>
    <row r="1197" spans="2:15" s="22" customFormat="1" ht="45.75" customHeight="1">
      <c r="B1197" s="23"/>
      <c r="C1197" s="23"/>
      <c r="E1197" s="24"/>
      <c r="G1197" s="25"/>
      <c r="I1197" s="26"/>
      <c r="J1197" s="27"/>
      <c r="K1197" s="27"/>
      <c r="L1197" s="27"/>
      <c r="M1197" s="27"/>
      <c r="N1197" s="23"/>
      <c r="O1197" s="28"/>
    </row>
    <row r="1198" spans="2:15" s="22" customFormat="1" ht="45.75" customHeight="1">
      <c r="B1198" s="23"/>
      <c r="C1198" s="23"/>
      <c r="E1198" s="24"/>
      <c r="G1198" s="25"/>
      <c r="I1198" s="26"/>
      <c r="J1198" s="27"/>
      <c r="K1198" s="27"/>
      <c r="L1198" s="27"/>
      <c r="M1198" s="27"/>
      <c r="N1198" s="23"/>
      <c r="O1198" s="28"/>
    </row>
    <row r="1199" spans="2:15" s="22" customFormat="1" ht="45.75" customHeight="1">
      <c r="B1199" s="23"/>
      <c r="C1199" s="23"/>
      <c r="E1199" s="24"/>
      <c r="G1199" s="25"/>
      <c r="I1199" s="26"/>
      <c r="J1199" s="27"/>
      <c r="K1199" s="27"/>
      <c r="L1199" s="27"/>
      <c r="M1199" s="27"/>
      <c r="N1199" s="23"/>
      <c r="O1199" s="28"/>
    </row>
    <row r="1200" spans="2:15" s="22" customFormat="1" ht="45.75" customHeight="1">
      <c r="B1200" s="23"/>
      <c r="C1200" s="23"/>
      <c r="E1200" s="24"/>
      <c r="G1200" s="25"/>
      <c r="I1200" s="26"/>
      <c r="J1200" s="27"/>
      <c r="K1200" s="27"/>
      <c r="L1200" s="27"/>
      <c r="M1200" s="27"/>
      <c r="N1200" s="23"/>
      <c r="O1200" s="28"/>
    </row>
    <row r="1201" spans="2:15" s="22" customFormat="1" ht="45.75" customHeight="1">
      <c r="B1201" s="23"/>
      <c r="C1201" s="23"/>
      <c r="E1201" s="24"/>
      <c r="G1201" s="25"/>
      <c r="I1201" s="26"/>
      <c r="J1201" s="27"/>
      <c r="K1201" s="27"/>
      <c r="L1201" s="27"/>
      <c r="M1201" s="27"/>
      <c r="N1201" s="23"/>
      <c r="O1201" s="28"/>
    </row>
    <row r="1202" spans="2:15" s="22" customFormat="1" ht="45.75" customHeight="1">
      <c r="B1202" s="23"/>
      <c r="C1202" s="23"/>
      <c r="E1202" s="24"/>
      <c r="G1202" s="25"/>
      <c r="I1202" s="26"/>
      <c r="J1202" s="27"/>
      <c r="K1202" s="27"/>
      <c r="L1202" s="27"/>
      <c r="M1202" s="27"/>
      <c r="N1202" s="23"/>
      <c r="O1202" s="28"/>
    </row>
    <row r="1203" spans="2:15" s="22" customFormat="1" ht="45.75" customHeight="1">
      <c r="B1203" s="23"/>
      <c r="C1203" s="23"/>
      <c r="E1203" s="24"/>
      <c r="G1203" s="25"/>
      <c r="I1203" s="26"/>
      <c r="J1203" s="27"/>
      <c r="K1203" s="27"/>
      <c r="L1203" s="27"/>
      <c r="M1203" s="27"/>
      <c r="N1203" s="23"/>
      <c r="O1203" s="28"/>
    </row>
    <row r="1204" spans="2:15" s="22" customFormat="1" ht="45.75" customHeight="1">
      <c r="B1204" s="23"/>
      <c r="C1204" s="23"/>
      <c r="E1204" s="24"/>
      <c r="G1204" s="25"/>
      <c r="I1204" s="26"/>
      <c r="J1204" s="27"/>
      <c r="K1204" s="27"/>
      <c r="L1204" s="27"/>
      <c r="M1204" s="27"/>
      <c r="N1204" s="23"/>
      <c r="O1204" s="28"/>
    </row>
    <row r="1205" spans="2:15" s="22" customFormat="1" ht="45.75" customHeight="1">
      <c r="B1205" s="23"/>
      <c r="C1205" s="23"/>
      <c r="E1205" s="24"/>
      <c r="G1205" s="25"/>
      <c r="I1205" s="26"/>
      <c r="J1205" s="27"/>
      <c r="K1205" s="27"/>
      <c r="L1205" s="27"/>
      <c r="M1205" s="27"/>
      <c r="N1205" s="23"/>
      <c r="O1205" s="28"/>
    </row>
    <row r="1206" spans="2:15" s="22" customFormat="1" ht="45.75" customHeight="1">
      <c r="B1206" s="23"/>
      <c r="C1206" s="23"/>
      <c r="E1206" s="24"/>
      <c r="G1206" s="25"/>
      <c r="I1206" s="26"/>
      <c r="J1206" s="27"/>
      <c r="K1206" s="27"/>
      <c r="L1206" s="27"/>
      <c r="M1206" s="27"/>
      <c r="N1206" s="23"/>
      <c r="O1206" s="28"/>
    </row>
    <row r="1207" spans="2:15" s="22" customFormat="1" ht="45.75" customHeight="1">
      <c r="B1207" s="23"/>
      <c r="C1207" s="23"/>
      <c r="E1207" s="24"/>
      <c r="G1207" s="25"/>
      <c r="I1207" s="26"/>
      <c r="J1207" s="27"/>
      <c r="K1207" s="27"/>
      <c r="L1207" s="27"/>
      <c r="M1207" s="27"/>
      <c r="N1207" s="23"/>
      <c r="O1207" s="28"/>
    </row>
    <row r="1208" spans="2:15" s="22" customFormat="1" ht="45.75" customHeight="1">
      <c r="B1208" s="23"/>
      <c r="C1208" s="23"/>
      <c r="E1208" s="24"/>
      <c r="G1208" s="25"/>
      <c r="I1208" s="26"/>
      <c r="J1208" s="27"/>
      <c r="K1208" s="27"/>
      <c r="L1208" s="27"/>
      <c r="M1208" s="27"/>
      <c r="N1208" s="23"/>
      <c r="O1208" s="28"/>
    </row>
    <row r="1209" spans="2:15" s="22" customFormat="1" ht="45.75" customHeight="1">
      <c r="B1209" s="23"/>
      <c r="C1209" s="23"/>
      <c r="E1209" s="24"/>
      <c r="G1209" s="25"/>
      <c r="I1209" s="26"/>
      <c r="J1209" s="27"/>
      <c r="K1209" s="27"/>
      <c r="L1209" s="27"/>
      <c r="M1209" s="27"/>
      <c r="N1209" s="23"/>
      <c r="O1209" s="28"/>
    </row>
    <row r="1210" spans="2:15" s="22" customFormat="1" ht="45.75" customHeight="1">
      <c r="B1210" s="23"/>
      <c r="C1210" s="23"/>
      <c r="E1210" s="24"/>
      <c r="G1210" s="25"/>
      <c r="I1210" s="26"/>
      <c r="J1210" s="27"/>
      <c r="K1210" s="27"/>
      <c r="L1210" s="27"/>
      <c r="M1210" s="27"/>
      <c r="N1210" s="23"/>
      <c r="O1210" s="28"/>
    </row>
    <row r="1211" spans="2:15" s="22" customFormat="1" ht="45.75" customHeight="1">
      <c r="B1211" s="23"/>
      <c r="C1211" s="23"/>
      <c r="E1211" s="24"/>
      <c r="G1211" s="25"/>
      <c r="I1211" s="26"/>
      <c r="J1211" s="27"/>
      <c r="K1211" s="27"/>
      <c r="L1211" s="27"/>
      <c r="M1211" s="27"/>
      <c r="N1211" s="23"/>
      <c r="O1211" s="28"/>
    </row>
    <row r="1212" spans="2:15" s="22" customFormat="1" ht="45.75" customHeight="1">
      <c r="B1212" s="23"/>
      <c r="C1212" s="23"/>
      <c r="E1212" s="24"/>
      <c r="G1212" s="25"/>
      <c r="I1212" s="26"/>
      <c r="J1212" s="27"/>
      <c r="K1212" s="27"/>
      <c r="L1212" s="27"/>
      <c r="M1212" s="27"/>
      <c r="N1212" s="23"/>
      <c r="O1212" s="28"/>
    </row>
    <row r="1213" spans="2:15" s="22" customFormat="1" ht="45.75" customHeight="1">
      <c r="B1213" s="23"/>
      <c r="C1213" s="23"/>
      <c r="E1213" s="24"/>
      <c r="G1213" s="25"/>
      <c r="I1213" s="26"/>
      <c r="J1213" s="27"/>
      <c r="K1213" s="27"/>
      <c r="L1213" s="27"/>
      <c r="M1213" s="27"/>
      <c r="N1213" s="23"/>
      <c r="O1213" s="28"/>
    </row>
    <row r="1214" spans="2:15" s="22" customFormat="1" ht="45.75" customHeight="1">
      <c r="B1214" s="23"/>
      <c r="C1214" s="23"/>
      <c r="E1214" s="24"/>
      <c r="G1214" s="25"/>
      <c r="I1214" s="26"/>
      <c r="J1214" s="27"/>
      <c r="K1214" s="27"/>
      <c r="L1214" s="27"/>
      <c r="M1214" s="27"/>
      <c r="N1214" s="23"/>
      <c r="O1214" s="28"/>
    </row>
    <row r="1215" spans="2:15" s="22" customFormat="1" ht="45.75" customHeight="1">
      <c r="B1215" s="23"/>
      <c r="C1215" s="23"/>
      <c r="E1215" s="24"/>
      <c r="G1215" s="25"/>
      <c r="I1215" s="26"/>
      <c r="J1215" s="27"/>
      <c r="K1215" s="27"/>
      <c r="L1215" s="27"/>
      <c r="M1215" s="27"/>
      <c r="N1215" s="23"/>
      <c r="O1215" s="28"/>
    </row>
    <row r="1216" spans="2:15" s="22" customFormat="1" ht="45.75" customHeight="1">
      <c r="B1216" s="23"/>
      <c r="C1216" s="23"/>
      <c r="E1216" s="24"/>
      <c r="G1216" s="25"/>
      <c r="I1216" s="26"/>
      <c r="J1216" s="27"/>
      <c r="K1216" s="27"/>
      <c r="L1216" s="27"/>
      <c r="M1216" s="27"/>
      <c r="N1216" s="23"/>
      <c r="O1216" s="28"/>
    </row>
    <row r="1217" spans="2:15" s="22" customFormat="1" ht="45.75" customHeight="1">
      <c r="B1217" s="23"/>
      <c r="C1217" s="23"/>
      <c r="E1217" s="24"/>
      <c r="G1217" s="25"/>
      <c r="I1217" s="26"/>
      <c r="J1217" s="27"/>
      <c r="K1217" s="27"/>
      <c r="L1217" s="27"/>
      <c r="M1217" s="27"/>
      <c r="N1217" s="23"/>
      <c r="O1217" s="28"/>
    </row>
    <row r="1218" spans="2:15" s="22" customFormat="1" ht="45.75" customHeight="1">
      <c r="B1218" s="23"/>
      <c r="C1218" s="23"/>
      <c r="E1218" s="24"/>
      <c r="G1218" s="25"/>
      <c r="I1218" s="26"/>
      <c r="J1218" s="27"/>
      <c r="K1218" s="27"/>
      <c r="L1218" s="27"/>
      <c r="M1218" s="27"/>
      <c r="N1218" s="23"/>
      <c r="O1218" s="28"/>
    </row>
    <row r="1219" spans="2:15" s="22" customFormat="1" ht="45.75" customHeight="1">
      <c r="B1219" s="23"/>
      <c r="C1219" s="23"/>
      <c r="E1219" s="24"/>
      <c r="G1219" s="25"/>
      <c r="I1219" s="26"/>
      <c r="J1219" s="27"/>
      <c r="K1219" s="27"/>
      <c r="L1219" s="27"/>
      <c r="M1219" s="27"/>
      <c r="N1219" s="23"/>
      <c r="O1219" s="28"/>
    </row>
    <row r="1220" spans="2:15" s="22" customFormat="1" ht="45.75" customHeight="1">
      <c r="B1220" s="23"/>
      <c r="C1220" s="23"/>
      <c r="E1220" s="24"/>
      <c r="G1220" s="25"/>
      <c r="I1220" s="26"/>
      <c r="J1220" s="27"/>
      <c r="K1220" s="27"/>
      <c r="L1220" s="27"/>
      <c r="M1220" s="27"/>
      <c r="N1220" s="23"/>
      <c r="O1220" s="28"/>
    </row>
    <row r="1221" spans="2:15" s="22" customFormat="1" ht="45.75" customHeight="1">
      <c r="B1221" s="23"/>
      <c r="C1221" s="23"/>
      <c r="E1221" s="24"/>
      <c r="G1221" s="25"/>
      <c r="I1221" s="26"/>
      <c r="J1221" s="27"/>
      <c r="K1221" s="27"/>
      <c r="L1221" s="27"/>
      <c r="M1221" s="27"/>
      <c r="N1221" s="23"/>
      <c r="O1221" s="28"/>
    </row>
    <row r="1222" spans="2:15" s="22" customFormat="1" ht="45.75" customHeight="1">
      <c r="B1222" s="23"/>
      <c r="C1222" s="23"/>
      <c r="E1222" s="24"/>
      <c r="G1222" s="25"/>
      <c r="I1222" s="26"/>
      <c r="J1222" s="27"/>
      <c r="K1222" s="27"/>
      <c r="L1222" s="27"/>
      <c r="M1222" s="27"/>
      <c r="N1222" s="23"/>
      <c r="O1222" s="28"/>
    </row>
    <row r="1223" spans="2:15" s="22" customFormat="1" ht="45.75" customHeight="1">
      <c r="B1223" s="23"/>
      <c r="C1223" s="23"/>
      <c r="E1223" s="24"/>
      <c r="G1223" s="25"/>
      <c r="I1223" s="26"/>
      <c r="J1223" s="27"/>
      <c r="K1223" s="27"/>
      <c r="L1223" s="27"/>
      <c r="M1223" s="27"/>
      <c r="N1223" s="23"/>
      <c r="O1223" s="28"/>
    </row>
    <row r="1224" spans="2:15" s="22" customFormat="1" ht="45.75" customHeight="1">
      <c r="B1224" s="23"/>
      <c r="C1224" s="23"/>
      <c r="E1224" s="24"/>
      <c r="G1224" s="25"/>
      <c r="I1224" s="26"/>
      <c r="J1224" s="27"/>
      <c r="K1224" s="27"/>
      <c r="L1224" s="27"/>
      <c r="M1224" s="27"/>
      <c r="N1224" s="23"/>
      <c r="O1224" s="28"/>
    </row>
    <row r="1225" spans="2:15" s="22" customFormat="1" ht="45.75" customHeight="1">
      <c r="B1225" s="23"/>
      <c r="C1225" s="23"/>
      <c r="E1225" s="24"/>
      <c r="G1225" s="25"/>
      <c r="I1225" s="26"/>
      <c r="J1225" s="27"/>
      <c r="K1225" s="27"/>
      <c r="L1225" s="27"/>
      <c r="M1225" s="27"/>
      <c r="N1225" s="23"/>
      <c r="O1225" s="28"/>
    </row>
    <row r="1226" spans="2:15" s="22" customFormat="1" ht="45.75" customHeight="1">
      <c r="B1226" s="23"/>
      <c r="C1226" s="23"/>
      <c r="E1226" s="24"/>
      <c r="G1226" s="25"/>
      <c r="I1226" s="26"/>
      <c r="J1226" s="27"/>
      <c r="K1226" s="27"/>
      <c r="L1226" s="27"/>
      <c r="M1226" s="27"/>
      <c r="N1226" s="23"/>
      <c r="O1226" s="28"/>
    </row>
    <row r="1227" spans="2:15" s="22" customFormat="1" ht="45.75" customHeight="1">
      <c r="B1227" s="23"/>
      <c r="C1227" s="23"/>
      <c r="E1227" s="24"/>
      <c r="G1227" s="25"/>
      <c r="I1227" s="26"/>
      <c r="J1227" s="27"/>
      <c r="K1227" s="27"/>
      <c r="L1227" s="27"/>
      <c r="M1227" s="27"/>
      <c r="N1227" s="23"/>
      <c r="O1227" s="28"/>
    </row>
    <row r="1228" spans="2:15" s="22" customFormat="1" ht="45.75" customHeight="1">
      <c r="B1228" s="23"/>
      <c r="C1228" s="23"/>
      <c r="E1228" s="24"/>
      <c r="G1228" s="25"/>
      <c r="I1228" s="26"/>
      <c r="J1228" s="27"/>
      <c r="K1228" s="27"/>
      <c r="L1228" s="27"/>
      <c r="M1228" s="27"/>
      <c r="N1228" s="23"/>
      <c r="O1228" s="28"/>
    </row>
    <row r="1229" spans="2:15" s="22" customFormat="1" ht="45.75" customHeight="1">
      <c r="B1229" s="23"/>
      <c r="C1229" s="23"/>
      <c r="E1229" s="24"/>
      <c r="G1229" s="25"/>
      <c r="I1229" s="26"/>
      <c r="J1229" s="27"/>
      <c r="K1229" s="27"/>
      <c r="L1229" s="27"/>
      <c r="M1229" s="27"/>
      <c r="N1229" s="23"/>
      <c r="O1229" s="28"/>
    </row>
    <row r="1230" spans="2:15" s="22" customFormat="1" ht="45.75" customHeight="1">
      <c r="B1230" s="23"/>
      <c r="C1230" s="23"/>
      <c r="E1230" s="24"/>
      <c r="G1230" s="25"/>
      <c r="I1230" s="26"/>
      <c r="J1230" s="27"/>
      <c r="K1230" s="27"/>
      <c r="L1230" s="27"/>
      <c r="M1230" s="27"/>
      <c r="N1230" s="23"/>
      <c r="O1230" s="28"/>
    </row>
    <row r="1231" spans="2:15" s="22" customFormat="1" ht="45.75" customHeight="1">
      <c r="B1231" s="23"/>
      <c r="C1231" s="23"/>
      <c r="E1231" s="24"/>
      <c r="G1231" s="25"/>
      <c r="I1231" s="26"/>
      <c r="J1231" s="27"/>
      <c r="K1231" s="27"/>
      <c r="L1231" s="27"/>
      <c r="M1231" s="27"/>
      <c r="N1231" s="23"/>
      <c r="O1231" s="28"/>
    </row>
    <row r="1232" spans="2:15" s="22" customFormat="1" ht="45.75" customHeight="1">
      <c r="B1232" s="23"/>
      <c r="C1232" s="23"/>
      <c r="E1232" s="24"/>
      <c r="G1232" s="25"/>
      <c r="I1232" s="26"/>
      <c r="J1232" s="27"/>
      <c r="K1232" s="27"/>
      <c r="L1232" s="27"/>
      <c r="M1232" s="27"/>
      <c r="N1232" s="23"/>
      <c r="O1232" s="28"/>
    </row>
    <row r="1233" spans="2:15" s="22" customFormat="1" ht="45.75" customHeight="1">
      <c r="B1233" s="23"/>
      <c r="C1233" s="23"/>
      <c r="E1233" s="24"/>
      <c r="G1233" s="25"/>
      <c r="I1233" s="26"/>
      <c r="J1233" s="27"/>
      <c r="K1233" s="27"/>
      <c r="L1233" s="27"/>
      <c r="M1233" s="27"/>
      <c r="N1233" s="23"/>
      <c r="O1233" s="28"/>
    </row>
    <row r="1234" spans="2:15" s="22" customFormat="1" ht="45.75" customHeight="1">
      <c r="B1234" s="23"/>
      <c r="C1234" s="23"/>
      <c r="E1234" s="24"/>
      <c r="G1234" s="25"/>
      <c r="I1234" s="26"/>
      <c r="J1234" s="27"/>
      <c r="K1234" s="27"/>
      <c r="L1234" s="27"/>
      <c r="M1234" s="27"/>
      <c r="N1234" s="23"/>
      <c r="O1234" s="28"/>
    </row>
    <row r="1235" spans="2:15" s="22" customFormat="1" ht="45.75" customHeight="1">
      <c r="B1235" s="23"/>
      <c r="C1235" s="23"/>
      <c r="E1235" s="24"/>
      <c r="G1235" s="25"/>
      <c r="I1235" s="26"/>
      <c r="J1235" s="27"/>
      <c r="K1235" s="27"/>
      <c r="L1235" s="27"/>
      <c r="M1235" s="27"/>
      <c r="N1235" s="23"/>
      <c r="O1235" s="28"/>
    </row>
    <row r="1236" spans="2:15" s="22" customFormat="1" ht="45.75" customHeight="1">
      <c r="B1236" s="23"/>
      <c r="C1236" s="23"/>
      <c r="E1236" s="24"/>
      <c r="G1236" s="25"/>
      <c r="I1236" s="26"/>
      <c r="J1236" s="27"/>
      <c r="K1236" s="27"/>
      <c r="L1236" s="27"/>
      <c r="M1236" s="27"/>
      <c r="N1236" s="23"/>
      <c r="O1236" s="28"/>
    </row>
    <row r="1237" spans="2:15" s="22" customFormat="1" ht="45.75" customHeight="1">
      <c r="B1237" s="23"/>
      <c r="C1237" s="23"/>
      <c r="E1237" s="24"/>
      <c r="G1237" s="25"/>
      <c r="I1237" s="26"/>
      <c r="J1237" s="27"/>
      <c r="K1237" s="27"/>
      <c r="L1237" s="27"/>
      <c r="M1237" s="27"/>
      <c r="N1237" s="23"/>
      <c r="O1237" s="28"/>
    </row>
    <row r="1238" spans="2:15" s="22" customFormat="1" ht="45.75" customHeight="1">
      <c r="B1238" s="23"/>
      <c r="C1238" s="23"/>
      <c r="E1238" s="24"/>
      <c r="G1238" s="25"/>
      <c r="I1238" s="26"/>
      <c r="J1238" s="27"/>
      <c r="K1238" s="27"/>
      <c r="L1238" s="27"/>
      <c r="M1238" s="27"/>
      <c r="N1238" s="23"/>
      <c r="O1238" s="28"/>
    </row>
    <row r="1239" spans="2:15" s="22" customFormat="1" ht="45.75" customHeight="1">
      <c r="B1239" s="23"/>
      <c r="C1239" s="23"/>
      <c r="E1239" s="24"/>
      <c r="G1239" s="25"/>
      <c r="I1239" s="26"/>
      <c r="J1239" s="27"/>
      <c r="K1239" s="27"/>
      <c r="L1239" s="27"/>
      <c r="M1239" s="27"/>
      <c r="N1239" s="23"/>
      <c r="O1239" s="28"/>
    </row>
    <row r="1240" spans="2:15" s="22" customFormat="1" ht="45.75" customHeight="1">
      <c r="B1240" s="23"/>
      <c r="C1240" s="23"/>
      <c r="E1240" s="24"/>
      <c r="G1240" s="25"/>
      <c r="I1240" s="26"/>
      <c r="J1240" s="27"/>
      <c r="K1240" s="27"/>
      <c r="L1240" s="27"/>
      <c r="M1240" s="27"/>
      <c r="N1240" s="23"/>
      <c r="O1240" s="28"/>
    </row>
    <row r="1241" spans="2:15" s="22" customFormat="1" ht="45.75" customHeight="1">
      <c r="B1241" s="23"/>
      <c r="C1241" s="23"/>
      <c r="E1241" s="24"/>
      <c r="G1241" s="25"/>
      <c r="I1241" s="26"/>
      <c r="J1241" s="27"/>
      <c r="K1241" s="27"/>
      <c r="L1241" s="27"/>
      <c r="M1241" s="27"/>
      <c r="N1241" s="23"/>
      <c r="O1241" s="28"/>
    </row>
    <row r="1242" spans="2:15" s="22" customFormat="1" ht="45.75" customHeight="1">
      <c r="B1242" s="23"/>
      <c r="C1242" s="23"/>
      <c r="E1242" s="24"/>
      <c r="G1242" s="25"/>
      <c r="I1242" s="26"/>
      <c r="J1242" s="27"/>
      <c r="K1242" s="27"/>
      <c r="L1242" s="27"/>
      <c r="M1242" s="27"/>
      <c r="N1242" s="23"/>
      <c r="O1242" s="28"/>
    </row>
    <row r="1243" spans="2:15" s="22" customFormat="1" ht="45.75" customHeight="1">
      <c r="B1243" s="23"/>
      <c r="C1243" s="23"/>
      <c r="E1243" s="24"/>
      <c r="G1243" s="25"/>
      <c r="I1243" s="26"/>
      <c r="J1243" s="27"/>
      <c r="K1243" s="27"/>
      <c r="L1243" s="27"/>
      <c r="M1243" s="27"/>
      <c r="N1243" s="23"/>
      <c r="O1243" s="28"/>
    </row>
    <row r="1244" spans="2:15" s="22" customFormat="1" ht="45.75" customHeight="1">
      <c r="B1244" s="23"/>
      <c r="C1244" s="23"/>
      <c r="E1244" s="24"/>
      <c r="G1244" s="25"/>
      <c r="I1244" s="26"/>
      <c r="J1244" s="27"/>
      <c r="K1244" s="27"/>
      <c r="L1244" s="27"/>
      <c r="M1244" s="27"/>
      <c r="N1244" s="23"/>
      <c r="O1244" s="28"/>
    </row>
    <row r="1245" spans="2:15" s="22" customFormat="1" ht="45.75" customHeight="1">
      <c r="B1245" s="23"/>
      <c r="C1245" s="23"/>
      <c r="E1245" s="24"/>
      <c r="G1245" s="25"/>
      <c r="I1245" s="26"/>
      <c r="J1245" s="27"/>
      <c r="K1245" s="27"/>
      <c r="L1245" s="27"/>
      <c r="M1245" s="27"/>
      <c r="N1245" s="23"/>
      <c r="O1245" s="28"/>
    </row>
    <row r="1246" spans="2:15" s="22" customFormat="1" ht="45.75" customHeight="1">
      <c r="B1246" s="23"/>
      <c r="C1246" s="23"/>
      <c r="E1246" s="24"/>
      <c r="G1246" s="25"/>
      <c r="I1246" s="26"/>
      <c r="J1246" s="27"/>
      <c r="K1246" s="27"/>
      <c r="L1246" s="27"/>
      <c r="M1246" s="27"/>
      <c r="N1246" s="23"/>
      <c r="O1246" s="28"/>
    </row>
    <row r="1247" spans="2:15" s="22" customFormat="1" ht="45.75" customHeight="1">
      <c r="B1247" s="23"/>
      <c r="C1247" s="23"/>
      <c r="E1247" s="24"/>
      <c r="G1247" s="25"/>
      <c r="I1247" s="26"/>
      <c r="J1247" s="27"/>
      <c r="K1247" s="27"/>
      <c r="L1247" s="27"/>
      <c r="M1247" s="27"/>
      <c r="N1247" s="23"/>
      <c r="O1247" s="28"/>
    </row>
    <row r="1248" spans="2:15" s="22" customFormat="1" ht="45.75" customHeight="1">
      <c r="B1248" s="23"/>
      <c r="C1248" s="23"/>
      <c r="E1248" s="24"/>
      <c r="G1248" s="25"/>
      <c r="I1248" s="26"/>
      <c r="J1248" s="27"/>
      <c r="K1248" s="27"/>
      <c r="L1248" s="27"/>
      <c r="M1248" s="27"/>
      <c r="N1248" s="23"/>
      <c r="O1248" s="28"/>
    </row>
    <row r="1249" spans="2:15" s="22" customFormat="1" ht="45.75" customHeight="1">
      <c r="B1249" s="23"/>
      <c r="C1249" s="23"/>
      <c r="E1249" s="24"/>
      <c r="G1249" s="25"/>
      <c r="I1249" s="26"/>
      <c r="J1249" s="27"/>
      <c r="K1249" s="27"/>
      <c r="L1249" s="27"/>
      <c r="M1249" s="27"/>
      <c r="N1249" s="23"/>
      <c r="O1249" s="28"/>
    </row>
    <row r="1250" spans="2:15" s="22" customFormat="1" ht="45.75" customHeight="1">
      <c r="B1250" s="23"/>
      <c r="C1250" s="23"/>
      <c r="E1250" s="24"/>
      <c r="G1250" s="25"/>
      <c r="I1250" s="26"/>
      <c r="J1250" s="27"/>
      <c r="K1250" s="27"/>
      <c r="L1250" s="27"/>
      <c r="M1250" s="27"/>
      <c r="N1250" s="23"/>
      <c r="O1250" s="28"/>
    </row>
    <row r="1251" spans="2:15" s="22" customFormat="1" ht="45.75" customHeight="1">
      <c r="B1251" s="23"/>
      <c r="C1251" s="23"/>
      <c r="E1251" s="24"/>
      <c r="G1251" s="25"/>
      <c r="I1251" s="26"/>
      <c r="J1251" s="27"/>
      <c r="K1251" s="27"/>
      <c r="L1251" s="27"/>
      <c r="M1251" s="27"/>
      <c r="N1251" s="23"/>
      <c r="O1251" s="28"/>
    </row>
    <row r="1252" spans="2:15" s="22" customFormat="1" ht="45.75" customHeight="1">
      <c r="B1252" s="23"/>
      <c r="C1252" s="23"/>
      <c r="E1252" s="24"/>
      <c r="G1252" s="25"/>
      <c r="I1252" s="26"/>
      <c r="J1252" s="27"/>
      <c r="K1252" s="27"/>
      <c r="L1252" s="27"/>
      <c r="M1252" s="27"/>
      <c r="N1252" s="23"/>
      <c r="O1252" s="28"/>
    </row>
    <row r="1253" spans="2:15" s="22" customFormat="1" ht="45.75" customHeight="1">
      <c r="B1253" s="23"/>
      <c r="C1253" s="23"/>
      <c r="E1253" s="24"/>
      <c r="G1253" s="25"/>
      <c r="I1253" s="26"/>
      <c r="J1253" s="27"/>
      <c r="K1253" s="27"/>
      <c r="L1253" s="27"/>
      <c r="M1253" s="27"/>
      <c r="N1253" s="23"/>
      <c r="O1253" s="28"/>
    </row>
    <row r="1254" spans="2:15" s="22" customFormat="1" ht="45.75" customHeight="1">
      <c r="B1254" s="23"/>
      <c r="C1254" s="23"/>
      <c r="E1254" s="24"/>
      <c r="G1254" s="25"/>
      <c r="I1254" s="26"/>
      <c r="J1254" s="27"/>
      <c r="K1254" s="27"/>
      <c r="L1254" s="27"/>
      <c r="M1254" s="27"/>
      <c r="N1254" s="23"/>
      <c r="O1254" s="28"/>
    </row>
    <row r="1255" spans="2:15" s="22" customFormat="1" ht="45.75" customHeight="1">
      <c r="B1255" s="23"/>
      <c r="C1255" s="23"/>
      <c r="E1255" s="24"/>
      <c r="G1255" s="25"/>
      <c r="I1255" s="26"/>
      <c r="J1255" s="27"/>
      <c r="K1255" s="27"/>
      <c r="L1255" s="27"/>
      <c r="M1255" s="27"/>
      <c r="N1255" s="23"/>
      <c r="O1255" s="28"/>
    </row>
    <row r="1256" spans="2:15" s="22" customFormat="1" ht="45.75" customHeight="1">
      <c r="B1256" s="23"/>
      <c r="C1256" s="23"/>
      <c r="E1256" s="24"/>
      <c r="G1256" s="25"/>
      <c r="I1256" s="26"/>
      <c r="J1256" s="27"/>
      <c r="K1256" s="27"/>
      <c r="L1256" s="27"/>
      <c r="M1256" s="27"/>
      <c r="N1256" s="23"/>
      <c r="O1256" s="28"/>
    </row>
    <row r="1257" spans="2:15" s="22" customFormat="1" ht="45.75" customHeight="1">
      <c r="B1257" s="23"/>
      <c r="C1257" s="23"/>
      <c r="E1257" s="24"/>
      <c r="G1257" s="25"/>
      <c r="I1257" s="26"/>
      <c r="J1257" s="27"/>
      <c r="K1257" s="27"/>
      <c r="L1257" s="27"/>
      <c r="M1257" s="27"/>
      <c r="N1257" s="23"/>
      <c r="O1257" s="28"/>
    </row>
    <row r="1258" spans="2:15" s="22" customFormat="1" ht="45.75" customHeight="1">
      <c r="B1258" s="23"/>
      <c r="C1258" s="23"/>
      <c r="E1258" s="24"/>
      <c r="G1258" s="25"/>
      <c r="I1258" s="26"/>
      <c r="J1258" s="27"/>
      <c r="K1258" s="27"/>
      <c r="L1258" s="27"/>
      <c r="M1258" s="27"/>
      <c r="N1258" s="23"/>
      <c r="O1258" s="28"/>
    </row>
    <row r="1259" spans="2:15" s="22" customFormat="1" ht="45.75" customHeight="1">
      <c r="B1259" s="23"/>
      <c r="C1259" s="23"/>
      <c r="E1259" s="24"/>
      <c r="G1259" s="25"/>
      <c r="I1259" s="26"/>
      <c r="J1259" s="27"/>
      <c r="K1259" s="27"/>
      <c r="L1259" s="27"/>
      <c r="M1259" s="27"/>
      <c r="N1259" s="23"/>
      <c r="O1259" s="28"/>
    </row>
    <row r="1260" spans="2:15" s="22" customFormat="1" ht="45.75" customHeight="1">
      <c r="B1260" s="23"/>
      <c r="C1260" s="23"/>
      <c r="E1260" s="24"/>
      <c r="G1260" s="25"/>
      <c r="I1260" s="26"/>
      <c r="J1260" s="27"/>
      <c r="K1260" s="27"/>
      <c r="L1260" s="27"/>
      <c r="M1260" s="27"/>
      <c r="N1260" s="23"/>
      <c r="O1260" s="28"/>
    </row>
    <row r="1261" spans="2:15" s="22" customFormat="1" ht="45.75" customHeight="1">
      <c r="B1261" s="23"/>
      <c r="C1261" s="23"/>
      <c r="E1261" s="24"/>
      <c r="G1261" s="25"/>
      <c r="I1261" s="26"/>
      <c r="J1261" s="27"/>
      <c r="K1261" s="27"/>
      <c r="L1261" s="27"/>
      <c r="M1261" s="27"/>
      <c r="N1261" s="23"/>
      <c r="O1261" s="28"/>
    </row>
    <row r="1262" spans="2:15" s="22" customFormat="1" ht="45.75" customHeight="1">
      <c r="B1262" s="23"/>
      <c r="C1262" s="23"/>
      <c r="E1262" s="24"/>
      <c r="G1262" s="25"/>
      <c r="I1262" s="26"/>
      <c r="J1262" s="27"/>
      <c r="K1262" s="27"/>
      <c r="L1262" s="27"/>
      <c r="M1262" s="27"/>
      <c r="N1262" s="23"/>
      <c r="O1262" s="28"/>
    </row>
    <row r="1263" spans="2:15" s="22" customFormat="1" ht="45.75" customHeight="1">
      <c r="B1263" s="23"/>
      <c r="C1263" s="23"/>
      <c r="E1263" s="24"/>
      <c r="G1263" s="25"/>
      <c r="I1263" s="26"/>
      <c r="J1263" s="27"/>
      <c r="K1263" s="27"/>
      <c r="L1263" s="27"/>
      <c r="M1263" s="27"/>
      <c r="N1263" s="23"/>
      <c r="O1263" s="28"/>
    </row>
    <row r="1264" spans="2:15" s="22" customFormat="1" ht="45.75" customHeight="1">
      <c r="B1264" s="23"/>
      <c r="C1264" s="23"/>
      <c r="E1264" s="24"/>
      <c r="G1264" s="25"/>
      <c r="I1264" s="26"/>
      <c r="J1264" s="27"/>
      <c r="K1264" s="27"/>
      <c r="L1264" s="27"/>
      <c r="M1264" s="27"/>
      <c r="N1264" s="23"/>
      <c r="O1264" s="28"/>
    </row>
    <row r="1265" spans="2:15" s="22" customFormat="1" ht="45.75" customHeight="1">
      <c r="B1265" s="23"/>
      <c r="C1265" s="23"/>
      <c r="E1265" s="24"/>
      <c r="G1265" s="25"/>
      <c r="I1265" s="26"/>
      <c r="J1265" s="27"/>
      <c r="K1265" s="27"/>
      <c r="L1265" s="27"/>
      <c r="M1265" s="27"/>
      <c r="N1265" s="23"/>
      <c r="O1265" s="28"/>
    </row>
    <row r="1266" spans="2:15" s="22" customFormat="1" ht="45.75" customHeight="1">
      <c r="B1266" s="23"/>
      <c r="C1266" s="23"/>
      <c r="E1266" s="24"/>
      <c r="G1266" s="25"/>
      <c r="I1266" s="26"/>
      <c r="J1266" s="27"/>
      <c r="K1266" s="27"/>
      <c r="L1266" s="27"/>
      <c r="M1266" s="27"/>
      <c r="N1266" s="23"/>
      <c r="O1266" s="28"/>
    </row>
    <row r="1267" spans="2:15" s="22" customFormat="1" ht="45.75" customHeight="1">
      <c r="B1267" s="23"/>
      <c r="C1267" s="23"/>
      <c r="E1267" s="24"/>
      <c r="G1267" s="25"/>
      <c r="I1267" s="26"/>
      <c r="J1267" s="27"/>
      <c r="K1267" s="27"/>
      <c r="L1267" s="27"/>
      <c r="M1267" s="27"/>
      <c r="N1267" s="23"/>
      <c r="O1267" s="28"/>
    </row>
    <row r="1268" spans="2:15" s="22" customFormat="1" ht="45.75" customHeight="1">
      <c r="B1268" s="23"/>
      <c r="C1268" s="23"/>
      <c r="E1268" s="24"/>
      <c r="G1268" s="25"/>
      <c r="I1268" s="26"/>
      <c r="J1268" s="27"/>
      <c r="K1268" s="27"/>
      <c r="L1268" s="27"/>
      <c r="M1268" s="27"/>
      <c r="N1268" s="23"/>
      <c r="O1268" s="28"/>
    </row>
    <row r="1269" spans="2:15" s="22" customFormat="1" ht="45.75" customHeight="1">
      <c r="B1269" s="23"/>
      <c r="C1269" s="23"/>
      <c r="E1269" s="24"/>
      <c r="G1269" s="25"/>
      <c r="I1269" s="26"/>
      <c r="J1269" s="27"/>
      <c r="K1269" s="27"/>
      <c r="L1269" s="27"/>
      <c r="M1269" s="27"/>
      <c r="N1269" s="23"/>
      <c r="O1269" s="28"/>
    </row>
    <row r="1270" spans="2:15" s="22" customFormat="1" ht="45.75" customHeight="1">
      <c r="B1270" s="23"/>
      <c r="C1270" s="23"/>
      <c r="E1270" s="24"/>
      <c r="G1270" s="25"/>
      <c r="I1270" s="26"/>
      <c r="J1270" s="27"/>
      <c r="K1270" s="27"/>
      <c r="L1270" s="27"/>
      <c r="M1270" s="27"/>
      <c r="N1270" s="23"/>
      <c r="O1270" s="28"/>
    </row>
    <row r="1271" spans="2:15" s="22" customFormat="1" ht="45.75" customHeight="1">
      <c r="B1271" s="23"/>
      <c r="C1271" s="23"/>
      <c r="E1271" s="24"/>
      <c r="G1271" s="25"/>
      <c r="I1271" s="26"/>
      <c r="J1271" s="27"/>
      <c r="K1271" s="27"/>
      <c r="L1271" s="27"/>
      <c r="M1271" s="27"/>
      <c r="N1271" s="23"/>
      <c r="O1271" s="28"/>
    </row>
    <row r="1272" spans="2:15" s="22" customFormat="1" ht="45.75" customHeight="1">
      <c r="B1272" s="23"/>
      <c r="C1272" s="23"/>
      <c r="E1272" s="24"/>
      <c r="G1272" s="25"/>
      <c r="I1272" s="26"/>
      <c r="J1272" s="27"/>
      <c r="K1272" s="27"/>
      <c r="L1272" s="27"/>
      <c r="M1272" s="27"/>
      <c r="N1272" s="23"/>
      <c r="O1272" s="28"/>
    </row>
    <row r="1273" spans="2:15" s="22" customFormat="1" ht="45.75" customHeight="1">
      <c r="B1273" s="23"/>
      <c r="C1273" s="23"/>
      <c r="E1273" s="24"/>
      <c r="G1273" s="25"/>
      <c r="I1273" s="26"/>
      <c r="J1273" s="27"/>
      <c r="K1273" s="27"/>
      <c r="L1273" s="27"/>
      <c r="M1273" s="27"/>
      <c r="N1273" s="23"/>
      <c r="O1273" s="28"/>
    </row>
    <row r="1274" spans="2:15" s="22" customFormat="1" ht="45.75" customHeight="1">
      <c r="B1274" s="23"/>
      <c r="C1274" s="23"/>
      <c r="E1274" s="24"/>
      <c r="G1274" s="25"/>
      <c r="I1274" s="26"/>
      <c r="J1274" s="27"/>
      <c r="K1274" s="27"/>
      <c r="L1274" s="27"/>
      <c r="M1274" s="27"/>
      <c r="N1274" s="23"/>
      <c r="O1274" s="28"/>
    </row>
    <row r="1275" spans="2:15" s="22" customFormat="1" ht="45.75" customHeight="1">
      <c r="B1275" s="23"/>
      <c r="C1275" s="23"/>
      <c r="E1275" s="24"/>
      <c r="G1275" s="25"/>
      <c r="I1275" s="26"/>
      <c r="J1275" s="27"/>
      <c r="K1275" s="27"/>
      <c r="L1275" s="27"/>
      <c r="M1275" s="27"/>
      <c r="N1275" s="23"/>
      <c r="O1275" s="28"/>
    </row>
    <row r="1276" spans="2:15" s="22" customFormat="1" ht="45.75" customHeight="1">
      <c r="B1276" s="23"/>
      <c r="C1276" s="23"/>
      <c r="E1276" s="24"/>
      <c r="G1276" s="25"/>
      <c r="I1276" s="26"/>
      <c r="J1276" s="27"/>
      <c r="K1276" s="27"/>
      <c r="L1276" s="27"/>
      <c r="M1276" s="27"/>
      <c r="N1276" s="23"/>
      <c r="O1276" s="28"/>
    </row>
    <row r="1277" spans="2:15" s="22" customFormat="1" ht="45.75" customHeight="1">
      <c r="B1277" s="23"/>
      <c r="C1277" s="23"/>
      <c r="E1277" s="24"/>
      <c r="G1277" s="25"/>
      <c r="I1277" s="26"/>
      <c r="J1277" s="27"/>
      <c r="K1277" s="27"/>
      <c r="L1277" s="27"/>
      <c r="M1277" s="27"/>
      <c r="N1277" s="23"/>
      <c r="O1277" s="28"/>
    </row>
    <row r="1278" spans="2:15" s="22" customFormat="1" ht="45.75" customHeight="1">
      <c r="B1278" s="23"/>
      <c r="C1278" s="23"/>
      <c r="E1278" s="24"/>
      <c r="G1278" s="25"/>
      <c r="I1278" s="26"/>
      <c r="J1278" s="27"/>
      <c r="K1278" s="27"/>
      <c r="L1278" s="27"/>
      <c r="M1278" s="27"/>
      <c r="N1278" s="23"/>
      <c r="O1278" s="28"/>
    </row>
    <row r="1279" spans="2:15" s="22" customFormat="1" ht="45.75" customHeight="1">
      <c r="B1279" s="23"/>
      <c r="C1279" s="23"/>
      <c r="E1279" s="24"/>
      <c r="G1279" s="25"/>
      <c r="I1279" s="26"/>
      <c r="J1279" s="27"/>
      <c r="K1279" s="27"/>
      <c r="L1279" s="27"/>
      <c r="M1279" s="27"/>
      <c r="N1279" s="23"/>
      <c r="O1279" s="28"/>
    </row>
    <row r="1280" spans="2:15" s="22" customFormat="1" ht="45.75" customHeight="1">
      <c r="B1280" s="23"/>
      <c r="C1280" s="23"/>
      <c r="E1280" s="24"/>
      <c r="G1280" s="25"/>
      <c r="I1280" s="26"/>
      <c r="J1280" s="27"/>
      <c r="K1280" s="27"/>
      <c r="L1280" s="27"/>
      <c r="M1280" s="27"/>
      <c r="N1280" s="23"/>
      <c r="O1280" s="28"/>
    </row>
    <row r="1281" spans="2:15" s="22" customFormat="1" ht="45.75" customHeight="1">
      <c r="B1281" s="23"/>
      <c r="C1281" s="23"/>
      <c r="E1281" s="24"/>
      <c r="G1281" s="25"/>
      <c r="I1281" s="26"/>
      <c r="J1281" s="27"/>
      <c r="K1281" s="27"/>
      <c r="L1281" s="27"/>
      <c r="M1281" s="27"/>
      <c r="N1281" s="23"/>
      <c r="O1281" s="28"/>
    </row>
    <row r="1282" spans="2:15" s="22" customFormat="1" ht="45.75" customHeight="1">
      <c r="B1282" s="23"/>
      <c r="C1282" s="23"/>
      <c r="E1282" s="24"/>
      <c r="G1282" s="25"/>
      <c r="I1282" s="26"/>
      <c r="J1282" s="27"/>
      <c r="K1282" s="27"/>
      <c r="L1282" s="27"/>
      <c r="M1282" s="27"/>
      <c r="N1282" s="23"/>
      <c r="O1282" s="28"/>
    </row>
    <row r="1283" spans="2:15" s="22" customFormat="1" ht="45.75" customHeight="1">
      <c r="B1283" s="23"/>
      <c r="C1283" s="23"/>
      <c r="E1283" s="24"/>
      <c r="G1283" s="25"/>
      <c r="I1283" s="26"/>
      <c r="J1283" s="27"/>
      <c r="K1283" s="27"/>
      <c r="L1283" s="27"/>
      <c r="M1283" s="27"/>
      <c r="N1283" s="23"/>
      <c r="O1283" s="28"/>
    </row>
    <row r="1284" spans="2:15" s="22" customFormat="1" ht="45.75" customHeight="1">
      <c r="B1284" s="23"/>
      <c r="C1284" s="23"/>
      <c r="E1284" s="24"/>
      <c r="G1284" s="25"/>
      <c r="I1284" s="26"/>
      <c r="J1284" s="27"/>
      <c r="K1284" s="27"/>
      <c r="L1284" s="27"/>
      <c r="M1284" s="27"/>
      <c r="N1284" s="23"/>
      <c r="O1284" s="28"/>
    </row>
    <row r="1285" spans="2:15" s="22" customFormat="1" ht="45.75" customHeight="1">
      <c r="B1285" s="23"/>
      <c r="C1285" s="23"/>
      <c r="E1285" s="24"/>
      <c r="G1285" s="25"/>
      <c r="I1285" s="26"/>
      <c r="J1285" s="27"/>
      <c r="K1285" s="27"/>
      <c r="L1285" s="27"/>
      <c r="M1285" s="27"/>
      <c r="N1285" s="23"/>
      <c r="O1285" s="28"/>
    </row>
    <row r="1286" spans="2:15" s="22" customFormat="1" ht="45.75" customHeight="1">
      <c r="B1286" s="23"/>
      <c r="C1286" s="23"/>
      <c r="E1286" s="24"/>
      <c r="G1286" s="25"/>
      <c r="I1286" s="26"/>
      <c r="J1286" s="27"/>
      <c r="K1286" s="27"/>
      <c r="L1286" s="27"/>
      <c r="M1286" s="27"/>
      <c r="N1286" s="23"/>
      <c r="O1286" s="28"/>
    </row>
    <row r="1287" spans="2:15" s="22" customFormat="1" ht="45.75" customHeight="1">
      <c r="B1287" s="23"/>
      <c r="C1287" s="23"/>
      <c r="E1287" s="24"/>
      <c r="G1287" s="25"/>
      <c r="I1287" s="26"/>
      <c r="J1287" s="27"/>
      <c r="K1287" s="27"/>
      <c r="L1287" s="27"/>
      <c r="M1287" s="27"/>
      <c r="N1287" s="23"/>
      <c r="O1287" s="28"/>
    </row>
    <row r="1288" spans="2:15" s="22" customFormat="1" ht="45.75" customHeight="1">
      <c r="B1288" s="23"/>
      <c r="C1288" s="23"/>
      <c r="E1288" s="24"/>
      <c r="G1288" s="25"/>
      <c r="I1288" s="26"/>
      <c r="J1288" s="27"/>
      <c r="K1288" s="27"/>
      <c r="L1288" s="27"/>
      <c r="M1288" s="27"/>
      <c r="N1288" s="23"/>
      <c r="O1288" s="28"/>
    </row>
    <row r="1289" spans="2:15" s="22" customFormat="1" ht="45.75" customHeight="1">
      <c r="B1289" s="23"/>
      <c r="C1289" s="23"/>
      <c r="E1289" s="24"/>
      <c r="G1289" s="25"/>
      <c r="I1289" s="26"/>
      <c r="J1289" s="27"/>
      <c r="K1289" s="27"/>
      <c r="L1289" s="27"/>
      <c r="M1289" s="27"/>
      <c r="N1289" s="23"/>
      <c r="O1289" s="28"/>
    </row>
    <row r="1290" spans="2:15" s="22" customFormat="1" ht="45.75" customHeight="1">
      <c r="B1290" s="23"/>
      <c r="C1290" s="23"/>
      <c r="E1290" s="24"/>
      <c r="G1290" s="25"/>
      <c r="I1290" s="26"/>
      <c r="J1290" s="27"/>
      <c r="K1290" s="27"/>
      <c r="L1290" s="27"/>
      <c r="M1290" s="27"/>
      <c r="N1290" s="23"/>
      <c r="O1290" s="28"/>
    </row>
    <row r="1291" spans="2:15" s="22" customFormat="1" ht="45.75" customHeight="1">
      <c r="B1291" s="23"/>
      <c r="C1291" s="23"/>
      <c r="E1291" s="24"/>
      <c r="G1291" s="25"/>
      <c r="I1291" s="26"/>
      <c r="J1291" s="27"/>
      <c r="K1291" s="27"/>
      <c r="L1291" s="27"/>
      <c r="M1291" s="27"/>
      <c r="N1291" s="23"/>
      <c r="O1291" s="28"/>
    </row>
    <row r="1292" spans="2:15" s="22" customFormat="1" ht="45.75" customHeight="1">
      <c r="B1292" s="23"/>
      <c r="C1292" s="23"/>
      <c r="E1292" s="24"/>
      <c r="G1292" s="25"/>
      <c r="I1292" s="26"/>
      <c r="J1292" s="27"/>
      <c r="K1292" s="27"/>
      <c r="L1292" s="27"/>
      <c r="M1292" s="27"/>
      <c r="N1292" s="23"/>
      <c r="O1292" s="28"/>
    </row>
    <row r="1293" spans="2:15" s="22" customFormat="1" ht="45.75" customHeight="1">
      <c r="B1293" s="23"/>
      <c r="C1293" s="23"/>
      <c r="E1293" s="24"/>
      <c r="G1293" s="25"/>
      <c r="I1293" s="26"/>
      <c r="J1293" s="27"/>
      <c r="K1293" s="27"/>
      <c r="L1293" s="27"/>
      <c r="M1293" s="27"/>
      <c r="N1293" s="23"/>
      <c r="O1293" s="28"/>
    </row>
    <row r="1294" spans="2:15" s="22" customFormat="1" ht="45.75" customHeight="1">
      <c r="B1294" s="23"/>
      <c r="C1294" s="23"/>
      <c r="E1294" s="24"/>
      <c r="G1294" s="25"/>
      <c r="I1294" s="26"/>
      <c r="J1294" s="27"/>
      <c r="K1294" s="27"/>
      <c r="L1294" s="27"/>
      <c r="M1294" s="27"/>
      <c r="N1294" s="23"/>
      <c r="O1294" s="28"/>
    </row>
    <row r="1295" spans="2:15" s="22" customFormat="1" ht="45.75" customHeight="1">
      <c r="B1295" s="23"/>
      <c r="C1295" s="23"/>
      <c r="E1295" s="24"/>
      <c r="G1295" s="25"/>
      <c r="I1295" s="26"/>
      <c r="J1295" s="27"/>
      <c r="K1295" s="27"/>
      <c r="L1295" s="27"/>
      <c r="M1295" s="27"/>
      <c r="N1295" s="23"/>
      <c r="O1295" s="28"/>
    </row>
    <row r="1296" spans="2:15" s="22" customFormat="1" ht="45.75" customHeight="1">
      <c r="B1296" s="23"/>
      <c r="C1296" s="23"/>
      <c r="E1296" s="24"/>
      <c r="G1296" s="25"/>
      <c r="I1296" s="26"/>
      <c r="J1296" s="27"/>
      <c r="K1296" s="27"/>
      <c r="L1296" s="27"/>
      <c r="M1296" s="27"/>
      <c r="N1296" s="23"/>
      <c r="O1296" s="28"/>
    </row>
    <row r="1297" spans="2:15" s="22" customFormat="1" ht="45.75" customHeight="1">
      <c r="B1297" s="23"/>
      <c r="C1297" s="23"/>
      <c r="E1297" s="24"/>
      <c r="G1297" s="25"/>
      <c r="I1297" s="26"/>
      <c r="J1297" s="27"/>
      <c r="K1297" s="27"/>
      <c r="L1297" s="27"/>
      <c r="M1297" s="27"/>
      <c r="N1297" s="23"/>
      <c r="O1297" s="28"/>
    </row>
    <row r="1298" spans="2:15" s="22" customFormat="1" ht="45.75" customHeight="1">
      <c r="B1298" s="23"/>
      <c r="C1298" s="23"/>
      <c r="E1298" s="24"/>
      <c r="G1298" s="25"/>
      <c r="I1298" s="26"/>
      <c r="J1298" s="27"/>
      <c r="K1298" s="27"/>
      <c r="L1298" s="27"/>
      <c r="M1298" s="27"/>
      <c r="N1298" s="23"/>
      <c r="O1298" s="28"/>
    </row>
    <row r="1299" spans="2:15" s="22" customFormat="1" ht="45.75" customHeight="1">
      <c r="B1299" s="23"/>
      <c r="C1299" s="23"/>
      <c r="E1299" s="24"/>
      <c r="G1299" s="25"/>
      <c r="I1299" s="26"/>
      <c r="J1299" s="27"/>
      <c r="K1299" s="27"/>
      <c r="L1299" s="27"/>
      <c r="M1299" s="27"/>
      <c r="N1299" s="23"/>
      <c r="O1299" s="28"/>
    </row>
    <row r="1300" spans="2:15" s="22" customFormat="1" ht="45.75" customHeight="1">
      <c r="B1300" s="23"/>
      <c r="C1300" s="23"/>
      <c r="E1300" s="24"/>
      <c r="G1300" s="25"/>
      <c r="I1300" s="26"/>
      <c r="J1300" s="27"/>
      <c r="K1300" s="27"/>
      <c r="L1300" s="27"/>
      <c r="M1300" s="27"/>
      <c r="N1300" s="23"/>
      <c r="O1300" s="28"/>
    </row>
    <row r="1301" spans="2:15" s="22" customFormat="1" ht="45.75" customHeight="1">
      <c r="B1301" s="23"/>
      <c r="C1301" s="23"/>
      <c r="E1301" s="24"/>
      <c r="G1301" s="25"/>
      <c r="I1301" s="26"/>
      <c r="J1301" s="27"/>
      <c r="K1301" s="27"/>
      <c r="L1301" s="27"/>
      <c r="M1301" s="27"/>
      <c r="N1301" s="23"/>
      <c r="O1301" s="28"/>
    </row>
    <row r="1302" spans="2:15" s="22" customFormat="1" ht="45.75" customHeight="1">
      <c r="B1302" s="23"/>
      <c r="C1302" s="23"/>
      <c r="E1302" s="24"/>
      <c r="G1302" s="25"/>
      <c r="I1302" s="26"/>
      <c r="J1302" s="27"/>
      <c r="K1302" s="27"/>
      <c r="L1302" s="27"/>
      <c r="M1302" s="27"/>
      <c r="N1302" s="23"/>
      <c r="O1302" s="28"/>
    </row>
    <row r="1303" spans="2:15" s="22" customFormat="1" ht="45.75" customHeight="1">
      <c r="B1303" s="23"/>
      <c r="C1303" s="23"/>
      <c r="E1303" s="24"/>
      <c r="G1303" s="25"/>
      <c r="I1303" s="26"/>
      <c r="J1303" s="27"/>
      <c r="K1303" s="27"/>
      <c r="L1303" s="27"/>
      <c r="M1303" s="27"/>
      <c r="N1303" s="23"/>
      <c r="O1303" s="28"/>
    </row>
    <row r="1304" spans="2:15" s="22" customFormat="1" ht="45.75" customHeight="1">
      <c r="B1304" s="23"/>
      <c r="C1304" s="23"/>
      <c r="E1304" s="24"/>
      <c r="G1304" s="25"/>
      <c r="I1304" s="26"/>
      <c r="J1304" s="27"/>
      <c r="K1304" s="27"/>
      <c r="L1304" s="27"/>
      <c r="M1304" s="27"/>
      <c r="N1304" s="23"/>
      <c r="O1304" s="28"/>
    </row>
    <row r="1305" spans="2:15" s="22" customFormat="1" ht="45.75" customHeight="1">
      <c r="B1305" s="23"/>
      <c r="C1305" s="23"/>
      <c r="E1305" s="24"/>
      <c r="G1305" s="25"/>
      <c r="I1305" s="26"/>
      <c r="J1305" s="27"/>
      <c r="K1305" s="27"/>
      <c r="L1305" s="27"/>
      <c r="M1305" s="27"/>
      <c r="N1305" s="23"/>
      <c r="O1305" s="28"/>
    </row>
    <row r="1306" spans="2:15" s="22" customFormat="1" ht="45.75" customHeight="1">
      <c r="B1306" s="23"/>
      <c r="C1306" s="23"/>
      <c r="E1306" s="24"/>
      <c r="G1306" s="25"/>
      <c r="I1306" s="26"/>
      <c r="J1306" s="27"/>
      <c r="K1306" s="27"/>
      <c r="L1306" s="27"/>
      <c r="M1306" s="27"/>
      <c r="N1306" s="23"/>
      <c r="O1306" s="28"/>
    </row>
    <row r="1307" spans="2:15" s="22" customFormat="1" ht="45.75" customHeight="1">
      <c r="B1307" s="23"/>
      <c r="C1307" s="23"/>
      <c r="E1307" s="24"/>
      <c r="G1307" s="25"/>
      <c r="I1307" s="26"/>
      <c r="J1307" s="27"/>
      <c r="K1307" s="27"/>
      <c r="L1307" s="27"/>
      <c r="M1307" s="27"/>
      <c r="N1307" s="23"/>
      <c r="O1307" s="28"/>
    </row>
    <row r="1308" spans="2:15" s="22" customFormat="1" ht="45.75" customHeight="1">
      <c r="B1308" s="23"/>
      <c r="C1308" s="23"/>
      <c r="E1308" s="24"/>
      <c r="G1308" s="25"/>
      <c r="I1308" s="26"/>
      <c r="J1308" s="27"/>
      <c r="K1308" s="27"/>
      <c r="L1308" s="27"/>
      <c r="M1308" s="27"/>
      <c r="N1308" s="23"/>
      <c r="O1308" s="28"/>
    </row>
    <row r="1309" spans="2:15" s="22" customFormat="1" ht="45.75" customHeight="1">
      <c r="B1309" s="23"/>
      <c r="C1309" s="23"/>
      <c r="E1309" s="24"/>
      <c r="G1309" s="25"/>
      <c r="I1309" s="26"/>
      <c r="J1309" s="27"/>
      <c r="K1309" s="27"/>
      <c r="L1309" s="27"/>
      <c r="M1309" s="27"/>
      <c r="N1309" s="23"/>
      <c r="O1309" s="28"/>
    </row>
    <row r="1310" spans="2:15" s="22" customFormat="1" ht="45.75" customHeight="1">
      <c r="B1310" s="23"/>
      <c r="C1310" s="23"/>
      <c r="E1310" s="24"/>
      <c r="G1310" s="25"/>
      <c r="I1310" s="26"/>
      <c r="J1310" s="27"/>
      <c r="K1310" s="27"/>
      <c r="L1310" s="27"/>
      <c r="M1310" s="27"/>
      <c r="N1310" s="23"/>
      <c r="O1310" s="28"/>
    </row>
    <row r="1311" spans="2:15" s="22" customFormat="1" ht="45.75" customHeight="1">
      <c r="B1311" s="23"/>
      <c r="C1311" s="23"/>
      <c r="E1311" s="24"/>
      <c r="G1311" s="25"/>
      <c r="I1311" s="26"/>
      <c r="J1311" s="27"/>
      <c r="K1311" s="27"/>
      <c r="L1311" s="27"/>
      <c r="M1311" s="27"/>
      <c r="N1311" s="23"/>
      <c r="O1311" s="28"/>
    </row>
    <row r="1312" spans="2:15" s="22" customFormat="1" ht="45.75" customHeight="1">
      <c r="B1312" s="23"/>
      <c r="C1312" s="23"/>
      <c r="E1312" s="24"/>
      <c r="G1312" s="25"/>
      <c r="I1312" s="26"/>
      <c r="J1312" s="27"/>
      <c r="K1312" s="27"/>
      <c r="L1312" s="27"/>
      <c r="M1312" s="27"/>
      <c r="N1312" s="23"/>
      <c r="O1312" s="28"/>
    </row>
    <row r="1313" spans="2:15" s="22" customFormat="1" ht="45.75" customHeight="1">
      <c r="B1313" s="23"/>
      <c r="C1313" s="23"/>
      <c r="E1313" s="24"/>
      <c r="G1313" s="25"/>
      <c r="I1313" s="26"/>
      <c r="J1313" s="27"/>
      <c r="K1313" s="27"/>
      <c r="L1313" s="27"/>
      <c r="M1313" s="27"/>
      <c r="N1313" s="23"/>
      <c r="O1313" s="28"/>
    </row>
    <row r="1314" spans="2:15" s="22" customFormat="1" ht="45.75" customHeight="1">
      <c r="B1314" s="23"/>
      <c r="C1314" s="23"/>
      <c r="E1314" s="24"/>
      <c r="G1314" s="25"/>
      <c r="I1314" s="26"/>
      <c r="J1314" s="27"/>
      <c r="K1314" s="27"/>
      <c r="L1314" s="27"/>
      <c r="M1314" s="27"/>
      <c r="N1314" s="23"/>
      <c r="O1314" s="28"/>
    </row>
    <row r="1315" spans="2:15" s="22" customFormat="1" ht="45.75" customHeight="1">
      <c r="B1315" s="23"/>
      <c r="C1315" s="23"/>
      <c r="E1315" s="24"/>
      <c r="G1315" s="25"/>
      <c r="I1315" s="26"/>
      <c r="J1315" s="27"/>
      <c r="K1315" s="27"/>
      <c r="L1315" s="27"/>
      <c r="M1315" s="27"/>
      <c r="N1315" s="23"/>
      <c r="O1315" s="28"/>
    </row>
    <row r="1316" spans="2:15" s="22" customFormat="1" ht="45.75" customHeight="1">
      <c r="B1316" s="23"/>
      <c r="C1316" s="23"/>
      <c r="E1316" s="24"/>
      <c r="G1316" s="25"/>
      <c r="I1316" s="26"/>
      <c r="J1316" s="27"/>
      <c r="K1316" s="27"/>
      <c r="L1316" s="27"/>
      <c r="M1316" s="27"/>
      <c r="N1316" s="23"/>
      <c r="O1316" s="28"/>
    </row>
    <row r="1317" spans="2:15" s="22" customFormat="1" ht="45.75" customHeight="1">
      <c r="B1317" s="23"/>
      <c r="C1317" s="23"/>
      <c r="E1317" s="24"/>
      <c r="G1317" s="25"/>
      <c r="I1317" s="26"/>
      <c r="J1317" s="27"/>
      <c r="K1317" s="27"/>
      <c r="L1317" s="27"/>
      <c r="M1317" s="27"/>
      <c r="N1317" s="23"/>
      <c r="O1317" s="28"/>
    </row>
    <row r="1318" spans="2:15" s="22" customFormat="1" ht="45.75" customHeight="1">
      <c r="B1318" s="23"/>
      <c r="C1318" s="23"/>
      <c r="E1318" s="24"/>
      <c r="G1318" s="25"/>
      <c r="I1318" s="26"/>
      <c r="J1318" s="27"/>
      <c r="K1318" s="27"/>
      <c r="L1318" s="27"/>
      <c r="M1318" s="27"/>
      <c r="N1318" s="23"/>
      <c r="O1318" s="28"/>
    </row>
    <row r="1319" spans="2:15" s="22" customFormat="1" ht="45.75" customHeight="1">
      <c r="B1319" s="23"/>
      <c r="C1319" s="23"/>
      <c r="E1319" s="24"/>
      <c r="G1319" s="25"/>
      <c r="I1319" s="26"/>
      <c r="J1319" s="27"/>
      <c r="K1319" s="27"/>
      <c r="L1319" s="27"/>
      <c r="M1319" s="27"/>
      <c r="N1319" s="23"/>
      <c r="O1319" s="28"/>
    </row>
    <row r="1320" spans="2:15" s="22" customFormat="1" ht="45.75" customHeight="1">
      <c r="B1320" s="23"/>
      <c r="C1320" s="23"/>
      <c r="E1320" s="24"/>
      <c r="G1320" s="25"/>
      <c r="I1320" s="26"/>
      <c r="J1320" s="27"/>
      <c r="K1320" s="27"/>
      <c r="L1320" s="27"/>
      <c r="M1320" s="27"/>
      <c r="N1320" s="23"/>
      <c r="O1320" s="28"/>
    </row>
    <row r="1321" spans="2:15" s="22" customFormat="1" ht="45.75" customHeight="1">
      <c r="B1321" s="23"/>
      <c r="C1321" s="23"/>
      <c r="E1321" s="24"/>
      <c r="G1321" s="25"/>
      <c r="I1321" s="26"/>
      <c r="J1321" s="27"/>
      <c r="K1321" s="27"/>
      <c r="L1321" s="27"/>
      <c r="M1321" s="27"/>
      <c r="N1321" s="23"/>
      <c r="O1321" s="28"/>
    </row>
    <row r="1322" spans="2:15" s="22" customFormat="1" ht="45.75" customHeight="1">
      <c r="B1322" s="23"/>
      <c r="C1322" s="23"/>
      <c r="E1322" s="24"/>
      <c r="G1322" s="25"/>
      <c r="I1322" s="26"/>
      <c r="J1322" s="27"/>
      <c r="K1322" s="27"/>
      <c r="L1322" s="27"/>
      <c r="M1322" s="27"/>
      <c r="N1322" s="23"/>
      <c r="O1322" s="28"/>
    </row>
    <row r="1323" spans="2:15" s="22" customFormat="1" ht="45.75" customHeight="1">
      <c r="B1323" s="23"/>
      <c r="C1323" s="23"/>
      <c r="E1323" s="24"/>
      <c r="G1323" s="25"/>
      <c r="I1323" s="26"/>
      <c r="J1323" s="27"/>
      <c r="K1323" s="27"/>
      <c r="L1323" s="27"/>
      <c r="M1323" s="27"/>
      <c r="N1323" s="23"/>
      <c r="O1323" s="28"/>
    </row>
    <row r="1324" spans="2:15" s="22" customFormat="1" ht="45.75" customHeight="1">
      <c r="B1324" s="23"/>
      <c r="C1324" s="23"/>
      <c r="E1324" s="24"/>
      <c r="G1324" s="25"/>
      <c r="I1324" s="26"/>
      <c r="J1324" s="27"/>
      <c r="K1324" s="27"/>
      <c r="L1324" s="27"/>
      <c r="M1324" s="27"/>
      <c r="N1324" s="23"/>
      <c r="O1324" s="28"/>
    </row>
    <row r="1325" spans="2:15" s="22" customFormat="1" ht="45.75" customHeight="1">
      <c r="B1325" s="23"/>
      <c r="C1325" s="23"/>
      <c r="E1325" s="24"/>
      <c r="G1325" s="25"/>
      <c r="I1325" s="26"/>
      <c r="J1325" s="27"/>
      <c r="K1325" s="27"/>
      <c r="L1325" s="27"/>
      <c r="M1325" s="27"/>
      <c r="N1325" s="23"/>
      <c r="O1325" s="28"/>
    </row>
    <row r="1326" spans="2:15" s="22" customFormat="1" ht="45.75" customHeight="1">
      <c r="B1326" s="23"/>
      <c r="C1326" s="23"/>
      <c r="E1326" s="24"/>
      <c r="G1326" s="25"/>
      <c r="I1326" s="26"/>
      <c r="J1326" s="27"/>
      <c r="K1326" s="27"/>
      <c r="L1326" s="27"/>
      <c r="M1326" s="27"/>
      <c r="N1326" s="23"/>
      <c r="O1326" s="28"/>
    </row>
    <row r="1327" spans="2:15" s="22" customFormat="1" ht="45.75" customHeight="1">
      <c r="B1327" s="23"/>
      <c r="C1327" s="23"/>
      <c r="E1327" s="24"/>
      <c r="G1327" s="25"/>
      <c r="I1327" s="26"/>
      <c r="J1327" s="27"/>
      <c r="K1327" s="27"/>
      <c r="L1327" s="27"/>
      <c r="M1327" s="27"/>
      <c r="N1327" s="23"/>
      <c r="O1327" s="28"/>
    </row>
    <row r="1328" spans="2:15" s="22" customFormat="1" ht="45.75" customHeight="1">
      <c r="B1328" s="23"/>
      <c r="C1328" s="23"/>
      <c r="E1328" s="24"/>
      <c r="G1328" s="25"/>
      <c r="I1328" s="26"/>
      <c r="J1328" s="27"/>
      <c r="K1328" s="27"/>
      <c r="L1328" s="27"/>
      <c r="M1328" s="27"/>
      <c r="N1328" s="23"/>
      <c r="O1328" s="28"/>
    </row>
    <row r="1329" spans="2:15" s="22" customFormat="1" ht="45.75" customHeight="1">
      <c r="B1329" s="23"/>
      <c r="C1329" s="23"/>
      <c r="E1329" s="24"/>
      <c r="G1329" s="25"/>
      <c r="I1329" s="26"/>
      <c r="J1329" s="27"/>
      <c r="K1329" s="27"/>
      <c r="L1329" s="27"/>
      <c r="M1329" s="27"/>
      <c r="N1329" s="23"/>
      <c r="O1329" s="28"/>
    </row>
    <row r="1330" spans="2:15" s="22" customFormat="1" ht="45.75" customHeight="1">
      <c r="B1330" s="23"/>
      <c r="C1330" s="23"/>
      <c r="E1330" s="24"/>
      <c r="G1330" s="25"/>
      <c r="I1330" s="26"/>
      <c r="J1330" s="27"/>
      <c r="K1330" s="27"/>
      <c r="L1330" s="27"/>
      <c r="M1330" s="27"/>
      <c r="N1330" s="23"/>
      <c r="O1330" s="28"/>
    </row>
    <row r="1331" spans="2:15" s="22" customFormat="1" ht="45.75" customHeight="1">
      <c r="B1331" s="23"/>
      <c r="C1331" s="23"/>
      <c r="E1331" s="24"/>
      <c r="G1331" s="25"/>
      <c r="I1331" s="26"/>
      <c r="J1331" s="27"/>
      <c r="K1331" s="27"/>
      <c r="L1331" s="27"/>
      <c r="M1331" s="27"/>
      <c r="N1331" s="23"/>
      <c r="O1331" s="28"/>
    </row>
    <row r="1332" spans="2:15" s="22" customFormat="1" ht="45.75" customHeight="1">
      <c r="B1332" s="23"/>
      <c r="C1332" s="23"/>
      <c r="E1332" s="24"/>
      <c r="G1332" s="25"/>
      <c r="I1332" s="26"/>
      <c r="J1332" s="27"/>
      <c r="K1332" s="27"/>
      <c r="L1332" s="27"/>
      <c r="M1332" s="27"/>
      <c r="N1332" s="23"/>
      <c r="O1332" s="28"/>
    </row>
    <row r="1333" spans="2:15" s="22" customFormat="1" ht="45.75" customHeight="1">
      <c r="B1333" s="23"/>
      <c r="C1333" s="23"/>
      <c r="E1333" s="24"/>
      <c r="G1333" s="25"/>
      <c r="I1333" s="26"/>
      <c r="J1333" s="27"/>
      <c r="K1333" s="27"/>
      <c r="L1333" s="27"/>
      <c r="M1333" s="27"/>
      <c r="N1333" s="23"/>
      <c r="O1333" s="28"/>
    </row>
    <row r="1334" spans="2:15" s="22" customFormat="1" ht="45.75" customHeight="1">
      <c r="B1334" s="23"/>
      <c r="C1334" s="23"/>
      <c r="E1334" s="24"/>
      <c r="G1334" s="25"/>
      <c r="I1334" s="26"/>
      <c r="J1334" s="27"/>
      <c r="K1334" s="27"/>
      <c r="L1334" s="27"/>
      <c r="M1334" s="27"/>
      <c r="N1334" s="23"/>
      <c r="O1334" s="28"/>
    </row>
    <row r="1335" spans="2:15" s="22" customFormat="1" ht="45.75" customHeight="1">
      <c r="B1335" s="23"/>
      <c r="C1335" s="23"/>
      <c r="E1335" s="24"/>
      <c r="G1335" s="25"/>
      <c r="I1335" s="26"/>
      <c r="J1335" s="27"/>
      <c r="K1335" s="27"/>
      <c r="L1335" s="27"/>
      <c r="M1335" s="27"/>
      <c r="N1335" s="23"/>
      <c r="O1335" s="28"/>
    </row>
    <row r="1336" spans="2:15" s="22" customFormat="1" ht="45.75" customHeight="1">
      <c r="B1336" s="23"/>
      <c r="C1336" s="23"/>
      <c r="E1336" s="24"/>
      <c r="G1336" s="25"/>
      <c r="I1336" s="26"/>
      <c r="J1336" s="27"/>
      <c r="K1336" s="27"/>
      <c r="L1336" s="27"/>
      <c r="M1336" s="27"/>
      <c r="N1336" s="23"/>
      <c r="O1336" s="28"/>
    </row>
    <row r="1337" spans="2:15" s="22" customFormat="1" ht="45.75" customHeight="1">
      <c r="B1337" s="23"/>
      <c r="C1337" s="23"/>
      <c r="E1337" s="24"/>
      <c r="G1337" s="25"/>
      <c r="I1337" s="26"/>
      <c r="J1337" s="27"/>
      <c r="K1337" s="27"/>
      <c r="L1337" s="27"/>
      <c r="M1337" s="27"/>
      <c r="N1337" s="23"/>
      <c r="O1337" s="28"/>
    </row>
    <row r="1338" spans="2:15" s="22" customFormat="1" ht="45.75" customHeight="1">
      <c r="B1338" s="23"/>
      <c r="C1338" s="23"/>
      <c r="E1338" s="24"/>
      <c r="G1338" s="25"/>
      <c r="I1338" s="26"/>
      <c r="J1338" s="27"/>
      <c r="K1338" s="27"/>
      <c r="L1338" s="27"/>
      <c r="M1338" s="27"/>
      <c r="N1338" s="23"/>
      <c r="O1338" s="28"/>
    </row>
    <row r="1339" spans="2:15" s="22" customFormat="1" ht="45.75" customHeight="1">
      <c r="B1339" s="23"/>
      <c r="C1339" s="23"/>
      <c r="E1339" s="24"/>
      <c r="G1339" s="25"/>
      <c r="I1339" s="26"/>
      <c r="J1339" s="27"/>
      <c r="K1339" s="27"/>
      <c r="L1339" s="27"/>
      <c r="M1339" s="27"/>
      <c r="N1339" s="23"/>
      <c r="O1339" s="28"/>
    </row>
    <row r="1340" spans="2:15" s="22" customFormat="1" ht="45.75" customHeight="1">
      <c r="B1340" s="23"/>
      <c r="C1340" s="23"/>
      <c r="E1340" s="24"/>
      <c r="G1340" s="25"/>
      <c r="I1340" s="26"/>
      <c r="J1340" s="27"/>
      <c r="K1340" s="27"/>
      <c r="L1340" s="27"/>
      <c r="M1340" s="27"/>
      <c r="N1340" s="23"/>
      <c r="O1340" s="28"/>
    </row>
    <row r="1341" spans="2:15" s="22" customFormat="1" ht="45.75" customHeight="1">
      <c r="B1341" s="23"/>
      <c r="C1341" s="23"/>
      <c r="E1341" s="24"/>
      <c r="G1341" s="25"/>
      <c r="I1341" s="26"/>
      <c r="J1341" s="27"/>
      <c r="K1341" s="27"/>
      <c r="L1341" s="27"/>
      <c r="M1341" s="27"/>
      <c r="N1341" s="23"/>
      <c r="O1341" s="28"/>
    </row>
    <row r="1342" spans="2:15" s="22" customFormat="1" ht="45.75" customHeight="1">
      <c r="B1342" s="23"/>
      <c r="C1342" s="23"/>
      <c r="E1342" s="24"/>
      <c r="G1342" s="25"/>
      <c r="I1342" s="26"/>
      <c r="J1342" s="27"/>
      <c r="K1342" s="27"/>
      <c r="L1342" s="27"/>
      <c r="M1342" s="27"/>
      <c r="N1342" s="23"/>
      <c r="O1342" s="28"/>
    </row>
    <row r="1343" spans="2:15" s="22" customFormat="1" ht="45.75" customHeight="1">
      <c r="B1343" s="23"/>
      <c r="C1343" s="23"/>
      <c r="E1343" s="24"/>
      <c r="G1343" s="25"/>
      <c r="I1343" s="26"/>
      <c r="J1343" s="27"/>
      <c r="K1343" s="27"/>
      <c r="L1343" s="27"/>
      <c r="M1343" s="27"/>
      <c r="N1343" s="23"/>
      <c r="O1343" s="28"/>
    </row>
    <row r="1344" spans="2:15" s="22" customFormat="1" ht="45.75" customHeight="1">
      <c r="B1344" s="23"/>
      <c r="C1344" s="23"/>
      <c r="E1344" s="24"/>
      <c r="G1344" s="25"/>
      <c r="I1344" s="26"/>
      <c r="J1344" s="27"/>
      <c r="K1344" s="27"/>
      <c r="L1344" s="27"/>
      <c r="M1344" s="27"/>
      <c r="N1344" s="23"/>
      <c r="O1344" s="28"/>
    </row>
    <row r="1345" spans="2:15" s="22" customFormat="1" ht="45.75" customHeight="1">
      <c r="B1345" s="23"/>
      <c r="C1345" s="23"/>
      <c r="E1345" s="24"/>
      <c r="G1345" s="25"/>
      <c r="I1345" s="26"/>
      <c r="J1345" s="27"/>
      <c r="K1345" s="27"/>
      <c r="L1345" s="27"/>
      <c r="M1345" s="27"/>
      <c r="N1345" s="23"/>
      <c r="O1345" s="28"/>
    </row>
    <row r="1346" spans="2:15" s="22" customFormat="1" ht="45.75" customHeight="1">
      <c r="B1346" s="23"/>
      <c r="C1346" s="23"/>
      <c r="E1346" s="24"/>
      <c r="G1346" s="25"/>
      <c r="I1346" s="26"/>
      <c r="J1346" s="27"/>
      <c r="K1346" s="27"/>
      <c r="L1346" s="27"/>
      <c r="M1346" s="27"/>
      <c r="N1346" s="23"/>
      <c r="O1346" s="28"/>
    </row>
    <row r="1347" spans="2:15" s="22" customFormat="1" ht="45.75" customHeight="1">
      <c r="B1347" s="23"/>
      <c r="C1347" s="23"/>
      <c r="E1347" s="24"/>
      <c r="G1347" s="25"/>
      <c r="I1347" s="26"/>
      <c r="J1347" s="27"/>
      <c r="K1347" s="27"/>
      <c r="L1347" s="27"/>
      <c r="M1347" s="27"/>
      <c r="N1347" s="23"/>
      <c r="O1347" s="28"/>
    </row>
    <row r="1348" spans="2:15" s="22" customFormat="1" ht="45.75" customHeight="1">
      <c r="B1348" s="23"/>
      <c r="C1348" s="23"/>
      <c r="E1348" s="24"/>
      <c r="G1348" s="25"/>
      <c r="I1348" s="26"/>
      <c r="J1348" s="27"/>
      <c r="K1348" s="27"/>
      <c r="L1348" s="27"/>
      <c r="M1348" s="27"/>
      <c r="N1348" s="23"/>
      <c r="O1348" s="28"/>
    </row>
    <row r="1349" spans="2:15" s="22" customFormat="1" ht="45.75" customHeight="1">
      <c r="B1349" s="23"/>
      <c r="C1349" s="23"/>
      <c r="E1349" s="24"/>
      <c r="G1349" s="25"/>
      <c r="I1349" s="26"/>
      <c r="J1349" s="27"/>
      <c r="K1349" s="27"/>
      <c r="L1349" s="27"/>
      <c r="M1349" s="27"/>
      <c r="N1349" s="23"/>
      <c r="O1349" s="28"/>
    </row>
    <row r="1350" spans="2:15" s="22" customFormat="1" ht="45.75" customHeight="1">
      <c r="B1350" s="23"/>
      <c r="C1350" s="23"/>
      <c r="E1350" s="24"/>
      <c r="G1350" s="25"/>
      <c r="I1350" s="26"/>
      <c r="J1350" s="27"/>
      <c r="K1350" s="27"/>
      <c r="L1350" s="27"/>
      <c r="M1350" s="27"/>
      <c r="N1350" s="23"/>
      <c r="O1350" s="28"/>
    </row>
    <row r="1351" spans="2:15" s="22" customFormat="1" ht="45.75" customHeight="1">
      <c r="B1351" s="23"/>
      <c r="C1351" s="23"/>
      <c r="E1351" s="24"/>
      <c r="G1351" s="25"/>
      <c r="I1351" s="26"/>
      <c r="J1351" s="27"/>
      <c r="K1351" s="27"/>
      <c r="L1351" s="27"/>
      <c r="M1351" s="27"/>
      <c r="N1351" s="23"/>
      <c r="O1351" s="28"/>
    </row>
    <row r="1352" spans="2:15" s="22" customFormat="1" ht="45.75" customHeight="1">
      <c r="B1352" s="23"/>
      <c r="C1352" s="23"/>
      <c r="E1352" s="24"/>
      <c r="G1352" s="25"/>
      <c r="I1352" s="26"/>
      <c r="J1352" s="27"/>
      <c r="K1352" s="27"/>
      <c r="L1352" s="27"/>
      <c r="M1352" s="27"/>
      <c r="N1352" s="23"/>
      <c r="O1352" s="28"/>
    </row>
    <row r="1353" spans="2:15" s="22" customFormat="1" ht="45.75" customHeight="1">
      <c r="B1353" s="23"/>
      <c r="C1353" s="23"/>
      <c r="E1353" s="24"/>
      <c r="G1353" s="25"/>
      <c r="I1353" s="26"/>
      <c r="J1353" s="27"/>
      <c r="K1353" s="27"/>
      <c r="L1353" s="27"/>
      <c r="M1353" s="27"/>
      <c r="N1353" s="23"/>
      <c r="O1353" s="28"/>
    </row>
    <row r="1354" spans="2:15" s="22" customFormat="1" ht="45.75" customHeight="1">
      <c r="B1354" s="23"/>
      <c r="C1354" s="23"/>
      <c r="E1354" s="24"/>
      <c r="G1354" s="25"/>
      <c r="I1354" s="26"/>
      <c r="J1354" s="27"/>
      <c r="K1354" s="27"/>
      <c r="L1354" s="27"/>
      <c r="M1354" s="27"/>
      <c r="N1354" s="23"/>
      <c r="O1354" s="28"/>
    </row>
    <row r="1355" spans="2:15" s="22" customFormat="1" ht="45.75" customHeight="1">
      <c r="B1355" s="23"/>
      <c r="C1355" s="23"/>
      <c r="E1355" s="24"/>
      <c r="G1355" s="25"/>
      <c r="I1355" s="26"/>
      <c r="J1355" s="27"/>
      <c r="K1355" s="27"/>
      <c r="L1355" s="27"/>
      <c r="M1355" s="27"/>
      <c r="N1355" s="23"/>
      <c r="O1355" s="28"/>
    </row>
    <row r="1356" spans="2:15" s="22" customFormat="1" ht="45.75" customHeight="1">
      <c r="B1356" s="23"/>
      <c r="C1356" s="23"/>
      <c r="E1356" s="24"/>
      <c r="G1356" s="25"/>
      <c r="I1356" s="26"/>
      <c r="J1356" s="27"/>
      <c r="K1356" s="27"/>
      <c r="L1356" s="27"/>
      <c r="M1356" s="27"/>
      <c r="N1356" s="23"/>
      <c r="O1356" s="28"/>
    </row>
    <row r="1357" spans="2:15" s="22" customFormat="1" ht="45.75" customHeight="1">
      <c r="B1357" s="23"/>
      <c r="C1357" s="23"/>
      <c r="E1357" s="24"/>
      <c r="G1357" s="25"/>
      <c r="I1357" s="26"/>
      <c r="J1357" s="27"/>
      <c r="K1357" s="27"/>
      <c r="L1357" s="27"/>
      <c r="M1357" s="27"/>
      <c r="N1357" s="23"/>
      <c r="O1357" s="28"/>
    </row>
    <row r="1358" spans="2:15" s="22" customFormat="1" ht="45.75" customHeight="1">
      <c r="B1358" s="23"/>
      <c r="C1358" s="23"/>
      <c r="E1358" s="24"/>
      <c r="G1358" s="25"/>
      <c r="I1358" s="26"/>
      <c r="J1358" s="27"/>
      <c r="K1358" s="27"/>
      <c r="L1358" s="27"/>
      <c r="M1358" s="27"/>
      <c r="N1358" s="23"/>
      <c r="O1358" s="28"/>
    </row>
    <row r="1359" spans="2:15" s="22" customFormat="1" ht="45.75" customHeight="1">
      <c r="B1359" s="23"/>
      <c r="C1359" s="23"/>
      <c r="E1359" s="24"/>
      <c r="G1359" s="25"/>
      <c r="I1359" s="26"/>
      <c r="J1359" s="27"/>
      <c r="K1359" s="27"/>
      <c r="L1359" s="27"/>
      <c r="M1359" s="27"/>
      <c r="N1359" s="23"/>
      <c r="O1359" s="28"/>
    </row>
    <row r="1360" spans="2:15" s="22" customFormat="1" ht="45.75" customHeight="1">
      <c r="B1360" s="23"/>
      <c r="C1360" s="23"/>
      <c r="E1360" s="24"/>
      <c r="G1360" s="25"/>
      <c r="I1360" s="26"/>
      <c r="J1360" s="27"/>
      <c r="K1360" s="27"/>
      <c r="L1360" s="27"/>
      <c r="M1360" s="27"/>
      <c r="N1360" s="23"/>
      <c r="O1360" s="28"/>
    </row>
    <row r="1361" spans="2:15" s="22" customFormat="1" ht="45.75" customHeight="1">
      <c r="B1361" s="23"/>
      <c r="C1361" s="23"/>
      <c r="E1361" s="24"/>
      <c r="G1361" s="25"/>
      <c r="I1361" s="26"/>
      <c r="J1361" s="27"/>
      <c r="K1361" s="27"/>
      <c r="L1361" s="27"/>
      <c r="M1361" s="27"/>
      <c r="N1361" s="23"/>
      <c r="O1361" s="28"/>
    </row>
    <row r="1362" spans="2:15" s="22" customFormat="1" ht="45.75" customHeight="1">
      <c r="B1362" s="23"/>
      <c r="C1362" s="23"/>
      <c r="E1362" s="24"/>
      <c r="G1362" s="25"/>
      <c r="I1362" s="26"/>
      <c r="J1362" s="27"/>
      <c r="K1362" s="27"/>
      <c r="L1362" s="27"/>
      <c r="M1362" s="27"/>
      <c r="N1362" s="23"/>
      <c r="O1362" s="28"/>
    </row>
    <row r="1363" spans="2:15" s="22" customFormat="1" ht="45.75" customHeight="1">
      <c r="B1363" s="23"/>
      <c r="C1363" s="23"/>
      <c r="E1363" s="24"/>
      <c r="G1363" s="25"/>
      <c r="I1363" s="26"/>
      <c r="J1363" s="27"/>
      <c r="K1363" s="27"/>
      <c r="L1363" s="27"/>
      <c r="M1363" s="27"/>
      <c r="N1363" s="23"/>
      <c r="O1363" s="28"/>
    </row>
    <row r="1364" spans="2:15" s="22" customFormat="1" ht="45.75" customHeight="1">
      <c r="B1364" s="23"/>
      <c r="C1364" s="23"/>
      <c r="E1364" s="24"/>
      <c r="G1364" s="25"/>
      <c r="I1364" s="26"/>
      <c r="J1364" s="27"/>
      <c r="K1364" s="27"/>
      <c r="L1364" s="27"/>
      <c r="M1364" s="27"/>
      <c r="N1364" s="23"/>
      <c r="O1364" s="28"/>
    </row>
    <row r="1365" spans="2:15" s="22" customFormat="1" ht="45.75" customHeight="1">
      <c r="B1365" s="23"/>
      <c r="C1365" s="23"/>
      <c r="E1365" s="24"/>
      <c r="G1365" s="25"/>
      <c r="I1365" s="26"/>
      <c r="J1365" s="27"/>
      <c r="K1365" s="27"/>
      <c r="L1365" s="27"/>
      <c r="M1365" s="27"/>
      <c r="N1365" s="23"/>
      <c r="O1365" s="28"/>
    </row>
    <row r="1366" spans="2:15" s="22" customFormat="1" ht="45.75" customHeight="1">
      <c r="B1366" s="23"/>
      <c r="C1366" s="23"/>
      <c r="E1366" s="24"/>
      <c r="G1366" s="25"/>
      <c r="I1366" s="26"/>
      <c r="J1366" s="27"/>
      <c r="K1366" s="27"/>
      <c r="L1366" s="27"/>
      <c r="M1366" s="27"/>
      <c r="N1366" s="23"/>
      <c r="O1366" s="28"/>
    </row>
    <row r="1367" spans="2:15" s="22" customFormat="1" ht="45.75" customHeight="1">
      <c r="B1367" s="23"/>
      <c r="C1367" s="23"/>
      <c r="E1367" s="24"/>
      <c r="G1367" s="25"/>
      <c r="I1367" s="26"/>
      <c r="J1367" s="27"/>
      <c r="K1367" s="27"/>
      <c r="L1367" s="27"/>
      <c r="M1367" s="27"/>
      <c r="N1367" s="23"/>
      <c r="O1367" s="28"/>
    </row>
    <row r="1368" spans="2:15" s="22" customFormat="1" ht="45.75" customHeight="1">
      <c r="B1368" s="23"/>
      <c r="C1368" s="23"/>
      <c r="E1368" s="24"/>
      <c r="G1368" s="25"/>
      <c r="I1368" s="26"/>
      <c r="J1368" s="27"/>
      <c r="K1368" s="27"/>
      <c r="L1368" s="27"/>
      <c r="M1368" s="27"/>
      <c r="N1368" s="23"/>
      <c r="O1368" s="28"/>
    </row>
    <row r="1369" spans="2:15" s="22" customFormat="1" ht="45.75" customHeight="1">
      <c r="B1369" s="23"/>
      <c r="C1369" s="23"/>
      <c r="E1369" s="24"/>
      <c r="G1369" s="25"/>
      <c r="I1369" s="26"/>
      <c r="J1369" s="27"/>
      <c r="K1369" s="27"/>
      <c r="L1369" s="27"/>
      <c r="M1369" s="27"/>
      <c r="N1369" s="23"/>
      <c r="O1369" s="28"/>
    </row>
    <row r="1370" spans="2:15" s="22" customFormat="1" ht="45.75" customHeight="1">
      <c r="B1370" s="23"/>
      <c r="C1370" s="23"/>
      <c r="E1370" s="24"/>
      <c r="G1370" s="25"/>
      <c r="I1370" s="26"/>
      <c r="J1370" s="27"/>
      <c r="K1370" s="27"/>
      <c r="L1370" s="27"/>
      <c r="M1370" s="27"/>
      <c r="N1370" s="23"/>
      <c r="O1370" s="28"/>
    </row>
    <row r="1371" spans="2:15" s="22" customFormat="1" ht="45.75" customHeight="1">
      <c r="B1371" s="23"/>
      <c r="C1371" s="23"/>
      <c r="E1371" s="24"/>
      <c r="G1371" s="25"/>
      <c r="I1371" s="26"/>
      <c r="J1371" s="27"/>
      <c r="K1371" s="27"/>
      <c r="L1371" s="27"/>
      <c r="M1371" s="27"/>
      <c r="N1371" s="23"/>
      <c r="O1371" s="28"/>
    </row>
    <row r="1372" spans="2:15" s="22" customFormat="1" ht="45.75" customHeight="1">
      <c r="B1372" s="23"/>
      <c r="C1372" s="23"/>
      <c r="E1372" s="24"/>
      <c r="G1372" s="25"/>
      <c r="I1372" s="26"/>
      <c r="J1372" s="27"/>
      <c r="K1372" s="27"/>
      <c r="L1372" s="27"/>
      <c r="M1372" s="27"/>
      <c r="N1372" s="23"/>
      <c r="O1372" s="28"/>
    </row>
    <row r="1373" spans="2:15" s="22" customFormat="1" ht="45.75" customHeight="1">
      <c r="B1373" s="23"/>
      <c r="C1373" s="23"/>
      <c r="E1373" s="24"/>
      <c r="G1373" s="25"/>
      <c r="I1373" s="26"/>
      <c r="J1373" s="27"/>
      <c r="K1373" s="27"/>
      <c r="L1373" s="27"/>
      <c r="M1373" s="27"/>
      <c r="N1373" s="23"/>
      <c r="O1373" s="28"/>
    </row>
    <row r="1374" spans="2:15" s="22" customFormat="1" ht="45.75" customHeight="1">
      <c r="B1374" s="23"/>
      <c r="C1374" s="23"/>
      <c r="E1374" s="24"/>
      <c r="G1374" s="25"/>
      <c r="I1374" s="26"/>
      <c r="J1374" s="27"/>
      <c r="K1374" s="27"/>
      <c r="L1374" s="27"/>
      <c r="M1374" s="27"/>
      <c r="N1374" s="23"/>
      <c r="O1374" s="28"/>
    </row>
    <row r="1375" spans="2:15" s="22" customFormat="1" ht="45.75" customHeight="1">
      <c r="B1375" s="23"/>
      <c r="C1375" s="23"/>
      <c r="E1375" s="24"/>
      <c r="G1375" s="25"/>
      <c r="I1375" s="26"/>
      <c r="J1375" s="27"/>
      <c r="K1375" s="27"/>
      <c r="L1375" s="27"/>
      <c r="M1375" s="27"/>
      <c r="N1375" s="23"/>
      <c r="O1375" s="28"/>
    </row>
    <row r="1376" spans="2:15" s="22" customFormat="1" ht="45.75" customHeight="1">
      <c r="B1376" s="23"/>
      <c r="C1376" s="23"/>
      <c r="E1376" s="24"/>
      <c r="G1376" s="25"/>
      <c r="I1376" s="26"/>
      <c r="J1376" s="27"/>
      <c r="K1376" s="27"/>
      <c r="L1376" s="27"/>
      <c r="M1376" s="27"/>
      <c r="N1376" s="23"/>
      <c r="O1376" s="28"/>
    </row>
    <row r="1377" spans="2:15" s="22" customFormat="1" ht="45.75" customHeight="1">
      <c r="B1377" s="23"/>
      <c r="C1377" s="23"/>
      <c r="E1377" s="24"/>
      <c r="G1377" s="25"/>
      <c r="I1377" s="26"/>
      <c r="J1377" s="27"/>
      <c r="K1377" s="27"/>
      <c r="L1377" s="27"/>
      <c r="M1377" s="27"/>
      <c r="N1377" s="23"/>
      <c r="O1377" s="28"/>
    </row>
    <row r="1378" spans="2:15" s="22" customFormat="1" ht="45.75" customHeight="1">
      <c r="B1378" s="23"/>
      <c r="C1378" s="23"/>
      <c r="E1378" s="24"/>
      <c r="G1378" s="25"/>
      <c r="I1378" s="26"/>
      <c r="J1378" s="27"/>
      <c r="K1378" s="27"/>
      <c r="L1378" s="27"/>
      <c r="M1378" s="27"/>
      <c r="N1378" s="23"/>
      <c r="O1378" s="28"/>
    </row>
    <row r="1379" spans="2:15" s="22" customFormat="1" ht="45.75" customHeight="1">
      <c r="B1379" s="23"/>
      <c r="C1379" s="23"/>
      <c r="E1379" s="24"/>
      <c r="G1379" s="25"/>
      <c r="I1379" s="26"/>
      <c r="J1379" s="27"/>
      <c r="K1379" s="27"/>
      <c r="L1379" s="27"/>
      <c r="M1379" s="27"/>
      <c r="N1379" s="23"/>
      <c r="O1379" s="28"/>
    </row>
    <row r="1380" spans="2:15" s="22" customFormat="1" ht="45.75" customHeight="1">
      <c r="B1380" s="23"/>
      <c r="C1380" s="23"/>
      <c r="E1380" s="24"/>
      <c r="G1380" s="25"/>
      <c r="I1380" s="26"/>
      <c r="J1380" s="27"/>
      <c r="K1380" s="27"/>
      <c r="L1380" s="27"/>
      <c r="M1380" s="27"/>
      <c r="N1380" s="23"/>
      <c r="O1380" s="28"/>
    </row>
    <row r="1381" spans="2:15" s="22" customFormat="1" ht="45.75" customHeight="1">
      <c r="B1381" s="23"/>
      <c r="C1381" s="23"/>
      <c r="E1381" s="24"/>
      <c r="G1381" s="25"/>
      <c r="I1381" s="26"/>
      <c r="J1381" s="27"/>
      <c r="K1381" s="27"/>
      <c r="L1381" s="27"/>
      <c r="M1381" s="27"/>
      <c r="N1381" s="23"/>
      <c r="O1381" s="28"/>
    </row>
    <row r="1382" spans="2:15" s="22" customFormat="1" ht="45.75" customHeight="1">
      <c r="B1382" s="23"/>
      <c r="C1382" s="23"/>
      <c r="E1382" s="24"/>
      <c r="G1382" s="25"/>
      <c r="I1382" s="26"/>
      <c r="J1382" s="27"/>
      <c r="K1382" s="27"/>
      <c r="L1382" s="27"/>
      <c r="M1382" s="27"/>
      <c r="N1382" s="23"/>
      <c r="O1382" s="28"/>
    </row>
    <row r="1383" spans="2:15" s="22" customFormat="1" ht="45.75" customHeight="1">
      <c r="B1383" s="23"/>
      <c r="C1383" s="23"/>
      <c r="E1383" s="24"/>
      <c r="G1383" s="25"/>
      <c r="I1383" s="26"/>
      <c r="J1383" s="27"/>
      <c r="K1383" s="27"/>
      <c r="L1383" s="27"/>
      <c r="M1383" s="27"/>
      <c r="N1383" s="23"/>
      <c r="O1383" s="28"/>
    </row>
    <row r="1384" spans="2:15" s="22" customFormat="1" ht="45.75" customHeight="1">
      <c r="B1384" s="23"/>
      <c r="C1384" s="23"/>
      <c r="E1384" s="24"/>
      <c r="G1384" s="25"/>
      <c r="I1384" s="26"/>
      <c r="J1384" s="27"/>
      <c r="K1384" s="27"/>
      <c r="L1384" s="27"/>
      <c r="M1384" s="27"/>
      <c r="N1384" s="23"/>
      <c r="O1384" s="28"/>
    </row>
    <row r="1385" spans="2:15" s="22" customFormat="1" ht="45.75" customHeight="1">
      <c r="B1385" s="23"/>
      <c r="C1385" s="23"/>
      <c r="E1385" s="24"/>
      <c r="G1385" s="25"/>
      <c r="I1385" s="26"/>
      <c r="J1385" s="27"/>
      <c r="K1385" s="27"/>
      <c r="L1385" s="27"/>
      <c r="M1385" s="27"/>
      <c r="N1385" s="23"/>
      <c r="O1385" s="28"/>
    </row>
    <row r="1386" spans="2:15" s="22" customFormat="1" ht="45.75" customHeight="1">
      <c r="B1386" s="23"/>
      <c r="C1386" s="23"/>
      <c r="E1386" s="24"/>
      <c r="G1386" s="25"/>
      <c r="I1386" s="26"/>
      <c r="J1386" s="27"/>
      <c r="K1386" s="27"/>
      <c r="L1386" s="27"/>
      <c r="M1386" s="27"/>
      <c r="N1386" s="23"/>
      <c r="O1386" s="28"/>
    </row>
    <row r="1387" spans="2:15" s="22" customFormat="1" ht="45.75" customHeight="1">
      <c r="B1387" s="23"/>
      <c r="C1387" s="23"/>
      <c r="E1387" s="24"/>
      <c r="G1387" s="25"/>
      <c r="I1387" s="26"/>
      <c r="J1387" s="27"/>
      <c r="K1387" s="27"/>
      <c r="L1387" s="27"/>
      <c r="M1387" s="27"/>
      <c r="N1387" s="23"/>
      <c r="O1387" s="28"/>
    </row>
    <row r="1388" spans="2:15" s="22" customFormat="1" ht="45.75" customHeight="1">
      <c r="B1388" s="23"/>
      <c r="C1388" s="23"/>
      <c r="E1388" s="24"/>
      <c r="G1388" s="25"/>
      <c r="I1388" s="26"/>
      <c r="J1388" s="27"/>
      <c r="K1388" s="27"/>
      <c r="L1388" s="27"/>
      <c r="M1388" s="27"/>
      <c r="N1388" s="23"/>
      <c r="O1388" s="28"/>
    </row>
    <row r="1389" spans="2:15" s="22" customFormat="1" ht="45.75" customHeight="1">
      <c r="B1389" s="23"/>
      <c r="C1389" s="23"/>
      <c r="E1389" s="24"/>
      <c r="G1389" s="25"/>
      <c r="I1389" s="26"/>
      <c r="J1389" s="27"/>
      <c r="K1389" s="27"/>
      <c r="L1389" s="27"/>
      <c r="M1389" s="27"/>
      <c r="N1389" s="23"/>
      <c r="O1389" s="28"/>
    </row>
    <row r="1390" spans="2:15" s="22" customFormat="1" ht="45.75" customHeight="1">
      <c r="B1390" s="23"/>
      <c r="C1390" s="23"/>
      <c r="E1390" s="24"/>
      <c r="G1390" s="25"/>
      <c r="I1390" s="26"/>
      <c r="J1390" s="27"/>
      <c r="K1390" s="27"/>
      <c r="L1390" s="27"/>
      <c r="M1390" s="27"/>
      <c r="N1390" s="23"/>
      <c r="O1390" s="28"/>
    </row>
    <row r="1391" spans="2:15" s="22" customFormat="1" ht="45.75" customHeight="1">
      <c r="B1391" s="23"/>
      <c r="C1391" s="23"/>
      <c r="E1391" s="24"/>
      <c r="G1391" s="25"/>
      <c r="I1391" s="26"/>
      <c r="J1391" s="27"/>
      <c r="K1391" s="27"/>
      <c r="L1391" s="27"/>
      <c r="M1391" s="27"/>
      <c r="N1391" s="23"/>
      <c r="O1391" s="28"/>
    </row>
    <row r="1392" spans="2:15" s="22" customFormat="1" ht="45.75" customHeight="1">
      <c r="B1392" s="23"/>
      <c r="C1392" s="23"/>
      <c r="E1392" s="24"/>
      <c r="G1392" s="25"/>
      <c r="I1392" s="26"/>
      <c r="J1392" s="27"/>
      <c r="K1392" s="27"/>
      <c r="L1392" s="27"/>
      <c r="M1392" s="27"/>
      <c r="N1392" s="23"/>
      <c r="O1392" s="28"/>
    </row>
    <row r="1393" spans="2:15" s="22" customFormat="1" ht="45.75" customHeight="1">
      <c r="B1393" s="23"/>
      <c r="C1393" s="23"/>
      <c r="E1393" s="24"/>
      <c r="G1393" s="25"/>
      <c r="I1393" s="26"/>
      <c r="J1393" s="27"/>
      <c r="K1393" s="27"/>
      <c r="L1393" s="27"/>
      <c r="M1393" s="27"/>
      <c r="N1393" s="23"/>
      <c r="O1393" s="28"/>
    </row>
    <row r="1394" spans="2:15" s="22" customFormat="1" ht="45.75" customHeight="1">
      <c r="B1394" s="23"/>
      <c r="C1394" s="23"/>
      <c r="E1394" s="24"/>
      <c r="G1394" s="25"/>
      <c r="I1394" s="26"/>
      <c r="J1394" s="27"/>
      <c r="K1394" s="27"/>
      <c r="L1394" s="27"/>
      <c r="M1394" s="27"/>
      <c r="N1394" s="23"/>
      <c r="O1394" s="28"/>
    </row>
    <row r="1395" spans="2:15" s="22" customFormat="1" ht="45.75" customHeight="1">
      <c r="B1395" s="23"/>
      <c r="C1395" s="23"/>
      <c r="E1395" s="24"/>
      <c r="G1395" s="25"/>
      <c r="I1395" s="26"/>
      <c r="J1395" s="27"/>
      <c r="K1395" s="27"/>
      <c r="L1395" s="27"/>
      <c r="M1395" s="27"/>
      <c r="N1395" s="23"/>
      <c r="O1395" s="28"/>
    </row>
    <row r="1396" spans="2:15" s="22" customFormat="1" ht="45.75" customHeight="1">
      <c r="B1396" s="23"/>
      <c r="C1396" s="23"/>
      <c r="E1396" s="24"/>
      <c r="G1396" s="25"/>
      <c r="I1396" s="26"/>
      <c r="J1396" s="27"/>
      <c r="K1396" s="27"/>
      <c r="L1396" s="27"/>
      <c r="M1396" s="27"/>
      <c r="N1396" s="23"/>
      <c r="O1396" s="28"/>
    </row>
    <row r="1397" spans="2:15" s="22" customFormat="1" ht="45.75" customHeight="1">
      <c r="B1397" s="23"/>
      <c r="C1397" s="23"/>
      <c r="E1397" s="24"/>
      <c r="G1397" s="25"/>
      <c r="I1397" s="26"/>
      <c r="J1397" s="27"/>
      <c r="K1397" s="27"/>
      <c r="L1397" s="27"/>
      <c r="M1397" s="27"/>
      <c r="N1397" s="23"/>
      <c r="O1397" s="28"/>
    </row>
    <row r="1398" spans="2:15" s="22" customFormat="1" ht="45.75" customHeight="1">
      <c r="B1398" s="23"/>
      <c r="C1398" s="23"/>
      <c r="E1398" s="24"/>
      <c r="G1398" s="25"/>
      <c r="I1398" s="26"/>
      <c r="J1398" s="27"/>
      <c r="K1398" s="27"/>
      <c r="L1398" s="27"/>
      <c r="M1398" s="27"/>
      <c r="N1398" s="23"/>
      <c r="O1398" s="28"/>
    </row>
    <row r="1399" spans="2:15" s="22" customFormat="1" ht="45.75" customHeight="1">
      <c r="B1399" s="23"/>
      <c r="C1399" s="23"/>
      <c r="E1399" s="24"/>
      <c r="G1399" s="25"/>
      <c r="I1399" s="26"/>
      <c r="J1399" s="27"/>
      <c r="K1399" s="27"/>
      <c r="L1399" s="27"/>
      <c r="M1399" s="27"/>
      <c r="N1399" s="23"/>
      <c r="O1399" s="28"/>
    </row>
    <row r="1400" spans="2:15" s="22" customFormat="1" ht="45.75" customHeight="1">
      <c r="B1400" s="23"/>
      <c r="C1400" s="23"/>
      <c r="E1400" s="24"/>
      <c r="G1400" s="25"/>
      <c r="I1400" s="26"/>
      <c r="J1400" s="27"/>
      <c r="K1400" s="27"/>
      <c r="L1400" s="27"/>
      <c r="M1400" s="27"/>
      <c r="N1400" s="23"/>
      <c r="O1400" s="28"/>
    </row>
    <row r="1401" spans="2:15" s="22" customFormat="1" ht="45.75" customHeight="1">
      <c r="B1401" s="23"/>
      <c r="C1401" s="23"/>
      <c r="E1401" s="24"/>
      <c r="G1401" s="25"/>
      <c r="I1401" s="26"/>
      <c r="J1401" s="27"/>
      <c r="K1401" s="27"/>
      <c r="L1401" s="27"/>
      <c r="M1401" s="27"/>
      <c r="N1401" s="23"/>
      <c r="O1401" s="28"/>
    </row>
    <row r="1402" spans="2:15" s="22" customFormat="1" ht="45.75" customHeight="1">
      <c r="B1402" s="23"/>
      <c r="C1402" s="23"/>
      <c r="E1402" s="24"/>
      <c r="G1402" s="25"/>
      <c r="I1402" s="26"/>
      <c r="J1402" s="27"/>
      <c r="K1402" s="27"/>
      <c r="L1402" s="27"/>
      <c r="M1402" s="27"/>
      <c r="N1402" s="23"/>
      <c r="O1402" s="28"/>
    </row>
    <row r="1403" spans="2:15" s="22" customFormat="1" ht="45.75" customHeight="1">
      <c r="B1403" s="23"/>
      <c r="C1403" s="23"/>
      <c r="E1403" s="24"/>
      <c r="G1403" s="25"/>
      <c r="I1403" s="26"/>
      <c r="J1403" s="27"/>
      <c r="K1403" s="27"/>
      <c r="L1403" s="27"/>
      <c r="M1403" s="27"/>
      <c r="N1403" s="23"/>
      <c r="O1403" s="28"/>
    </row>
    <row r="1404" spans="2:15" s="22" customFormat="1" ht="45.75" customHeight="1">
      <c r="B1404" s="23"/>
      <c r="C1404" s="23"/>
      <c r="E1404" s="24"/>
      <c r="G1404" s="25"/>
      <c r="I1404" s="26"/>
      <c r="J1404" s="27"/>
      <c r="K1404" s="27"/>
      <c r="L1404" s="27"/>
      <c r="M1404" s="27"/>
      <c r="N1404" s="23"/>
      <c r="O1404" s="28"/>
    </row>
    <row r="1405" spans="2:15" s="22" customFormat="1" ht="45.75" customHeight="1">
      <c r="B1405" s="23"/>
      <c r="C1405" s="23"/>
      <c r="E1405" s="24"/>
      <c r="G1405" s="25"/>
      <c r="I1405" s="26"/>
      <c r="J1405" s="27"/>
      <c r="K1405" s="27"/>
      <c r="L1405" s="27"/>
      <c r="M1405" s="27"/>
      <c r="N1405" s="23"/>
      <c r="O1405" s="28"/>
    </row>
    <row r="1406" spans="2:15" s="22" customFormat="1" ht="45.75" customHeight="1">
      <c r="B1406" s="23"/>
      <c r="C1406" s="23"/>
      <c r="E1406" s="24"/>
      <c r="G1406" s="25"/>
      <c r="I1406" s="26"/>
      <c r="J1406" s="27"/>
      <c r="K1406" s="27"/>
      <c r="L1406" s="27"/>
      <c r="M1406" s="27"/>
      <c r="N1406" s="23"/>
      <c r="O1406" s="28"/>
    </row>
    <row r="1407" spans="2:15" s="22" customFormat="1" ht="45.75" customHeight="1">
      <c r="B1407" s="23"/>
      <c r="C1407" s="23"/>
      <c r="E1407" s="24"/>
      <c r="G1407" s="25"/>
      <c r="I1407" s="26"/>
      <c r="J1407" s="27"/>
      <c r="K1407" s="27"/>
      <c r="L1407" s="27"/>
      <c r="M1407" s="27"/>
      <c r="N1407" s="23"/>
      <c r="O1407" s="28"/>
    </row>
    <row r="1408" spans="2:15" s="22" customFormat="1" ht="45.75" customHeight="1">
      <c r="B1408" s="23"/>
      <c r="C1408" s="23"/>
      <c r="E1408" s="24"/>
      <c r="G1408" s="25"/>
      <c r="I1408" s="26"/>
      <c r="J1408" s="27"/>
      <c r="K1408" s="27"/>
      <c r="L1408" s="27"/>
      <c r="M1408" s="27"/>
      <c r="N1408" s="23"/>
      <c r="O1408" s="28"/>
    </row>
    <row r="1409" spans="2:15" s="22" customFormat="1" ht="45.75" customHeight="1">
      <c r="B1409" s="23"/>
      <c r="C1409" s="23"/>
      <c r="E1409" s="24"/>
      <c r="G1409" s="25"/>
      <c r="I1409" s="26"/>
      <c r="J1409" s="27"/>
      <c r="K1409" s="27"/>
      <c r="L1409" s="27"/>
      <c r="M1409" s="27"/>
      <c r="N1409" s="23"/>
      <c r="O1409" s="28"/>
    </row>
    <row r="1410" spans="2:15" s="22" customFormat="1" ht="45.75" customHeight="1">
      <c r="B1410" s="23"/>
      <c r="C1410" s="23"/>
      <c r="E1410" s="24"/>
      <c r="G1410" s="25"/>
      <c r="I1410" s="26"/>
      <c r="J1410" s="27"/>
      <c r="K1410" s="27"/>
      <c r="L1410" s="27"/>
      <c r="M1410" s="27"/>
      <c r="N1410" s="23"/>
      <c r="O1410" s="28"/>
    </row>
    <row r="1411" spans="2:15" s="22" customFormat="1" ht="45.75" customHeight="1">
      <c r="B1411" s="23"/>
      <c r="C1411" s="23"/>
      <c r="E1411" s="24"/>
      <c r="G1411" s="25"/>
      <c r="I1411" s="26"/>
      <c r="J1411" s="27"/>
      <c r="K1411" s="27"/>
      <c r="L1411" s="27"/>
      <c r="M1411" s="27"/>
      <c r="N1411" s="23"/>
      <c r="O1411" s="28"/>
    </row>
    <row r="1412" spans="2:15" s="22" customFormat="1" ht="45.75" customHeight="1">
      <c r="B1412" s="23"/>
      <c r="C1412" s="23"/>
      <c r="E1412" s="24"/>
      <c r="G1412" s="25"/>
      <c r="I1412" s="26"/>
      <c r="J1412" s="27"/>
      <c r="K1412" s="27"/>
      <c r="L1412" s="27"/>
      <c r="M1412" s="27"/>
      <c r="N1412" s="23"/>
      <c r="O1412" s="28"/>
    </row>
    <row r="1413" spans="2:15" s="22" customFormat="1" ht="45.75" customHeight="1">
      <c r="B1413" s="23"/>
      <c r="C1413" s="23"/>
      <c r="E1413" s="24"/>
      <c r="G1413" s="25"/>
      <c r="I1413" s="26"/>
      <c r="J1413" s="27"/>
      <c r="K1413" s="27"/>
      <c r="L1413" s="27"/>
      <c r="M1413" s="27"/>
      <c r="N1413" s="23"/>
      <c r="O1413" s="28"/>
    </row>
    <row r="1414" spans="2:15" s="22" customFormat="1" ht="45.75" customHeight="1">
      <c r="B1414" s="23"/>
      <c r="C1414" s="23"/>
      <c r="E1414" s="24"/>
      <c r="G1414" s="25"/>
      <c r="I1414" s="26"/>
      <c r="J1414" s="27"/>
      <c r="K1414" s="27"/>
      <c r="L1414" s="27"/>
      <c r="M1414" s="27"/>
      <c r="N1414" s="23"/>
      <c r="O1414" s="28"/>
    </row>
    <row r="1415" spans="2:15" s="22" customFormat="1" ht="45.75" customHeight="1">
      <c r="B1415" s="23"/>
      <c r="C1415" s="23"/>
      <c r="E1415" s="24"/>
      <c r="G1415" s="25"/>
      <c r="I1415" s="26"/>
      <c r="J1415" s="27"/>
      <c r="K1415" s="27"/>
      <c r="L1415" s="27"/>
      <c r="M1415" s="27"/>
      <c r="N1415" s="23"/>
      <c r="O1415" s="28"/>
    </row>
    <row r="1416" spans="2:15" s="22" customFormat="1" ht="45.75" customHeight="1">
      <c r="B1416" s="23"/>
      <c r="C1416" s="23"/>
      <c r="E1416" s="24"/>
      <c r="G1416" s="25"/>
      <c r="I1416" s="26"/>
      <c r="J1416" s="27"/>
      <c r="K1416" s="27"/>
      <c r="L1416" s="27"/>
      <c r="M1416" s="27"/>
      <c r="N1416" s="23"/>
      <c r="O1416" s="28"/>
    </row>
    <row r="1417" spans="2:15" s="22" customFormat="1" ht="45.75" customHeight="1">
      <c r="B1417" s="23"/>
      <c r="C1417" s="23"/>
      <c r="E1417" s="24"/>
      <c r="G1417" s="25"/>
      <c r="I1417" s="26"/>
      <c r="J1417" s="27"/>
      <c r="K1417" s="27"/>
      <c r="L1417" s="27"/>
      <c r="M1417" s="27"/>
      <c r="N1417" s="23"/>
      <c r="O1417" s="28"/>
    </row>
    <row r="1418" spans="2:15" s="22" customFormat="1" ht="45.75" customHeight="1">
      <c r="B1418" s="23"/>
      <c r="C1418" s="23"/>
      <c r="E1418" s="24"/>
      <c r="G1418" s="25"/>
      <c r="I1418" s="26"/>
      <c r="J1418" s="27"/>
      <c r="K1418" s="27"/>
      <c r="L1418" s="27"/>
      <c r="M1418" s="27"/>
      <c r="N1418" s="23"/>
      <c r="O1418" s="28"/>
    </row>
    <row r="1419" spans="2:15" s="22" customFormat="1" ht="45.75" customHeight="1">
      <c r="B1419" s="23"/>
      <c r="C1419" s="23"/>
      <c r="E1419" s="24"/>
      <c r="G1419" s="25"/>
      <c r="I1419" s="26"/>
      <c r="J1419" s="27"/>
      <c r="K1419" s="27"/>
      <c r="L1419" s="27"/>
      <c r="M1419" s="27"/>
      <c r="N1419" s="23"/>
      <c r="O1419" s="28"/>
    </row>
    <row r="1420" spans="2:15" s="22" customFormat="1" ht="45.75" customHeight="1">
      <c r="B1420" s="23"/>
      <c r="C1420" s="23"/>
      <c r="E1420" s="24"/>
      <c r="G1420" s="25"/>
      <c r="I1420" s="26"/>
      <c r="J1420" s="27"/>
      <c r="K1420" s="27"/>
      <c r="L1420" s="27"/>
      <c r="M1420" s="27"/>
      <c r="N1420" s="23"/>
      <c r="O1420" s="28"/>
    </row>
    <row r="1421" spans="2:15" s="22" customFormat="1" ht="45.75" customHeight="1">
      <c r="B1421" s="23"/>
      <c r="C1421" s="23"/>
      <c r="E1421" s="24"/>
      <c r="G1421" s="25"/>
      <c r="I1421" s="26"/>
      <c r="J1421" s="27"/>
      <c r="K1421" s="27"/>
      <c r="L1421" s="27"/>
      <c r="M1421" s="27"/>
      <c r="N1421" s="23"/>
      <c r="O1421" s="28"/>
    </row>
    <row r="1422" spans="2:15" s="22" customFormat="1" ht="45.75" customHeight="1">
      <c r="B1422" s="23"/>
      <c r="C1422" s="23"/>
      <c r="E1422" s="24"/>
      <c r="G1422" s="25"/>
      <c r="I1422" s="26"/>
      <c r="J1422" s="27"/>
      <c r="K1422" s="27"/>
      <c r="L1422" s="27"/>
      <c r="M1422" s="27"/>
      <c r="N1422" s="23"/>
      <c r="O1422" s="28"/>
    </row>
    <row r="1423" spans="2:15" s="22" customFormat="1" ht="45.75" customHeight="1">
      <c r="B1423" s="23"/>
      <c r="C1423" s="23"/>
      <c r="E1423" s="24"/>
      <c r="G1423" s="25"/>
      <c r="I1423" s="26"/>
      <c r="J1423" s="27"/>
      <c r="K1423" s="27"/>
      <c r="L1423" s="27"/>
      <c r="M1423" s="27"/>
      <c r="N1423" s="23"/>
      <c r="O1423" s="28"/>
    </row>
    <row r="1424" spans="2:15" s="22" customFormat="1" ht="45.75" customHeight="1">
      <c r="B1424" s="23"/>
      <c r="C1424" s="23"/>
      <c r="E1424" s="24"/>
      <c r="G1424" s="25"/>
      <c r="I1424" s="26"/>
      <c r="J1424" s="27"/>
      <c r="K1424" s="27"/>
      <c r="L1424" s="27"/>
      <c r="M1424" s="27"/>
      <c r="N1424" s="23"/>
      <c r="O1424" s="28"/>
    </row>
    <row r="1425" spans="2:15" s="22" customFormat="1" ht="45.75" customHeight="1">
      <c r="B1425" s="23"/>
      <c r="C1425" s="23"/>
      <c r="E1425" s="24"/>
      <c r="G1425" s="25"/>
      <c r="I1425" s="26"/>
      <c r="J1425" s="27"/>
      <c r="K1425" s="27"/>
      <c r="L1425" s="27"/>
      <c r="M1425" s="27"/>
      <c r="N1425" s="23"/>
      <c r="O1425" s="28"/>
    </row>
    <row r="1426" spans="2:15" s="22" customFormat="1" ht="45.75" customHeight="1">
      <c r="B1426" s="23"/>
      <c r="C1426" s="23"/>
      <c r="E1426" s="24"/>
      <c r="G1426" s="25"/>
      <c r="I1426" s="26"/>
      <c r="J1426" s="27"/>
      <c r="K1426" s="27"/>
      <c r="L1426" s="27"/>
      <c r="M1426" s="27"/>
      <c r="N1426" s="23"/>
      <c r="O1426" s="28"/>
    </row>
    <row r="1427" spans="2:15" s="22" customFormat="1" ht="45.75" customHeight="1">
      <c r="B1427" s="23"/>
      <c r="C1427" s="23"/>
      <c r="E1427" s="24"/>
      <c r="G1427" s="25"/>
      <c r="I1427" s="26"/>
      <c r="J1427" s="27"/>
      <c r="K1427" s="27"/>
      <c r="L1427" s="27"/>
      <c r="M1427" s="27"/>
      <c r="N1427" s="23"/>
      <c r="O1427" s="28"/>
    </row>
    <row r="1428" spans="2:15" s="22" customFormat="1" ht="45.75" customHeight="1">
      <c r="B1428" s="23"/>
      <c r="C1428" s="23"/>
      <c r="E1428" s="24"/>
      <c r="G1428" s="25"/>
      <c r="I1428" s="26"/>
      <c r="J1428" s="27"/>
      <c r="K1428" s="27"/>
      <c r="L1428" s="27"/>
      <c r="M1428" s="27"/>
      <c r="N1428" s="23"/>
      <c r="O1428" s="28"/>
    </row>
    <row r="1429" spans="2:15" s="22" customFormat="1" ht="45.75" customHeight="1">
      <c r="B1429" s="23"/>
      <c r="C1429" s="23"/>
      <c r="E1429" s="24"/>
      <c r="G1429" s="25"/>
      <c r="I1429" s="26"/>
      <c r="J1429" s="27"/>
      <c r="K1429" s="27"/>
      <c r="L1429" s="27"/>
      <c r="M1429" s="27"/>
      <c r="N1429" s="23"/>
      <c r="O1429" s="28"/>
    </row>
    <row r="1430" spans="2:15" s="22" customFormat="1" ht="45.75" customHeight="1">
      <c r="B1430" s="23"/>
      <c r="C1430" s="23"/>
      <c r="E1430" s="24"/>
      <c r="G1430" s="25"/>
      <c r="I1430" s="26"/>
      <c r="J1430" s="27"/>
      <c r="K1430" s="27"/>
      <c r="L1430" s="27"/>
      <c r="M1430" s="27"/>
      <c r="N1430" s="23"/>
      <c r="O1430" s="28"/>
    </row>
    <row r="1431" spans="2:15" s="22" customFormat="1" ht="45.75" customHeight="1">
      <c r="B1431" s="23"/>
      <c r="C1431" s="23"/>
      <c r="E1431" s="24"/>
      <c r="G1431" s="25"/>
      <c r="I1431" s="26"/>
      <c r="J1431" s="27"/>
      <c r="K1431" s="27"/>
      <c r="L1431" s="27"/>
      <c r="M1431" s="27"/>
      <c r="N1431" s="23"/>
      <c r="O1431" s="28"/>
    </row>
    <row r="1432" spans="2:15" s="22" customFormat="1" ht="45.75" customHeight="1">
      <c r="B1432" s="23"/>
      <c r="C1432" s="23"/>
      <c r="E1432" s="24"/>
      <c r="G1432" s="25"/>
      <c r="I1432" s="26"/>
      <c r="J1432" s="27"/>
      <c r="K1432" s="27"/>
      <c r="L1432" s="27"/>
      <c r="M1432" s="27"/>
      <c r="N1432" s="23"/>
      <c r="O1432" s="28"/>
    </row>
    <row r="1433" spans="2:15" s="22" customFormat="1" ht="45.75" customHeight="1">
      <c r="B1433" s="23"/>
      <c r="C1433" s="23"/>
      <c r="E1433" s="24"/>
      <c r="G1433" s="25"/>
      <c r="I1433" s="26"/>
      <c r="J1433" s="27"/>
      <c r="K1433" s="27"/>
      <c r="L1433" s="27"/>
      <c r="M1433" s="27"/>
      <c r="N1433" s="23"/>
      <c r="O1433" s="28"/>
    </row>
    <row r="1434" spans="2:15" s="22" customFormat="1" ht="45.75" customHeight="1">
      <c r="B1434" s="23"/>
      <c r="C1434" s="23"/>
      <c r="E1434" s="24"/>
      <c r="G1434" s="25"/>
      <c r="I1434" s="26"/>
      <c r="J1434" s="27"/>
      <c r="K1434" s="27"/>
      <c r="L1434" s="27"/>
      <c r="M1434" s="27"/>
      <c r="N1434" s="23"/>
      <c r="O1434" s="28"/>
    </row>
    <row r="1435" spans="2:15" s="22" customFormat="1" ht="45.75" customHeight="1">
      <c r="B1435" s="23"/>
      <c r="C1435" s="23"/>
      <c r="E1435" s="24"/>
      <c r="G1435" s="25"/>
      <c r="I1435" s="26"/>
      <c r="J1435" s="27"/>
      <c r="K1435" s="27"/>
      <c r="L1435" s="27"/>
      <c r="M1435" s="27"/>
      <c r="N1435" s="23"/>
      <c r="O1435" s="28"/>
    </row>
    <row r="1436" spans="2:15" s="22" customFormat="1" ht="45.75" customHeight="1">
      <c r="B1436" s="23"/>
      <c r="C1436" s="23"/>
      <c r="E1436" s="24"/>
      <c r="G1436" s="25"/>
      <c r="I1436" s="26"/>
      <c r="J1436" s="27"/>
      <c r="K1436" s="27"/>
      <c r="L1436" s="27"/>
      <c r="M1436" s="27"/>
      <c r="N1436" s="23"/>
      <c r="O1436" s="28"/>
    </row>
    <row r="1437" spans="2:15" s="22" customFormat="1" ht="45.75" customHeight="1">
      <c r="B1437" s="23"/>
      <c r="C1437" s="23"/>
      <c r="E1437" s="24"/>
      <c r="G1437" s="25"/>
      <c r="I1437" s="26"/>
      <c r="J1437" s="27"/>
      <c r="K1437" s="27"/>
      <c r="L1437" s="27"/>
      <c r="M1437" s="27"/>
      <c r="N1437" s="23"/>
      <c r="O1437" s="28"/>
    </row>
    <row r="1438" spans="2:15" s="22" customFormat="1" ht="45.75" customHeight="1">
      <c r="B1438" s="23"/>
      <c r="C1438" s="23"/>
      <c r="E1438" s="24"/>
      <c r="G1438" s="25"/>
      <c r="I1438" s="26"/>
      <c r="J1438" s="27"/>
      <c r="K1438" s="27"/>
      <c r="L1438" s="27"/>
      <c r="M1438" s="27"/>
      <c r="N1438" s="23"/>
      <c r="O1438" s="28"/>
    </row>
    <row r="1439" spans="2:15" s="22" customFormat="1" ht="45.75" customHeight="1">
      <c r="B1439" s="23"/>
      <c r="C1439" s="23"/>
      <c r="E1439" s="24"/>
      <c r="G1439" s="25"/>
      <c r="I1439" s="26"/>
      <c r="J1439" s="27"/>
      <c r="K1439" s="27"/>
      <c r="L1439" s="27"/>
      <c r="M1439" s="27"/>
      <c r="N1439" s="23"/>
      <c r="O1439" s="28"/>
    </row>
    <row r="1440" spans="2:15" s="22" customFormat="1" ht="45.75" customHeight="1">
      <c r="B1440" s="23"/>
      <c r="C1440" s="23"/>
      <c r="E1440" s="24"/>
      <c r="G1440" s="25"/>
      <c r="I1440" s="26"/>
      <c r="J1440" s="27"/>
      <c r="K1440" s="27"/>
      <c r="L1440" s="27"/>
      <c r="M1440" s="27"/>
      <c r="N1440" s="23"/>
      <c r="O1440" s="28"/>
    </row>
    <row r="1441" spans="2:15" s="22" customFormat="1" ht="45.75" customHeight="1">
      <c r="B1441" s="23"/>
      <c r="C1441" s="23"/>
      <c r="E1441" s="24"/>
      <c r="G1441" s="25"/>
      <c r="I1441" s="26"/>
      <c r="J1441" s="27"/>
      <c r="K1441" s="27"/>
      <c r="L1441" s="27"/>
      <c r="M1441" s="27"/>
      <c r="N1441" s="23"/>
      <c r="O1441" s="28"/>
    </row>
    <row r="1442" spans="2:15" s="22" customFormat="1" ht="45.75" customHeight="1">
      <c r="B1442" s="23"/>
      <c r="C1442" s="23"/>
      <c r="E1442" s="24"/>
      <c r="G1442" s="25"/>
      <c r="I1442" s="26"/>
      <c r="J1442" s="27"/>
      <c r="K1442" s="27"/>
      <c r="L1442" s="27"/>
      <c r="M1442" s="27"/>
      <c r="N1442" s="23"/>
      <c r="O1442" s="28"/>
    </row>
    <row r="1443" spans="2:15" s="22" customFormat="1" ht="45.75" customHeight="1">
      <c r="B1443" s="23"/>
      <c r="C1443" s="23"/>
      <c r="E1443" s="24"/>
      <c r="G1443" s="25"/>
      <c r="I1443" s="26"/>
      <c r="J1443" s="27"/>
      <c r="K1443" s="27"/>
      <c r="L1443" s="27"/>
      <c r="M1443" s="27"/>
      <c r="N1443" s="23"/>
      <c r="O1443" s="28"/>
    </row>
    <row r="1444" spans="2:15" s="22" customFormat="1" ht="45.75" customHeight="1">
      <c r="B1444" s="23"/>
      <c r="C1444" s="23"/>
      <c r="E1444" s="24"/>
      <c r="G1444" s="25"/>
      <c r="I1444" s="26"/>
      <c r="J1444" s="27"/>
      <c r="K1444" s="27"/>
      <c r="L1444" s="27"/>
      <c r="M1444" s="27"/>
      <c r="N1444" s="23"/>
      <c r="O1444" s="28"/>
    </row>
    <row r="1445" spans="2:15" s="22" customFormat="1" ht="45.75" customHeight="1">
      <c r="B1445" s="23"/>
      <c r="C1445" s="23"/>
      <c r="E1445" s="24"/>
      <c r="G1445" s="25"/>
      <c r="I1445" s="26"/>
      <c r="J1445" s="27"/>
      <c r="K1445" s="27"/>
      <c r="L1445" s="27"/>
      <c r="M1445" s="27"/>
      <c r="N1445" s="23"/>
      <c r="O1445" s="28"/>
    </row>
    <row r="1446" spans="2:15" s="22" customFormat="1" ht="45.75" customHeight="1">
      <c r="B1446" s="23"/>
      <c r="C1446" s="23"/>
      <c r="E1446" s="24"/>
      <c r="G1446" s="25"/>
      <c r="I1446" s="26"/>
      <c r="J1446" s="27"/>
      <c r="K1446" s="27"/>
      <c r="L1446" s="27"/>
      <c r="M1446" s="27"/>
      <c r="N1446" s="23"/>
      <c r="O1446" s="28"/>
    </row>
    <row r="1447" spans="2:15" s="22" customFormat="1" ht="45.75" customHeight="1">
      <c r="B1447" s="23"/>
      <c r="C1447" s="23"/>
      <c r="E1447" s="24"/>
      <c r="G1447" s="25"/>
      <c r="I1447" s="26"/>
      <c r="J1447" s="27"/>
      <c r="K1447" s="27"/>
      <c r="L1447" s="27"/>
      <c r="M1447" s="27"/>
      <c r="N1447" s="23"/>
      <c r="O1447" s="28"/>
    </row>
    <row r="1448" spans="2:15" s="22" customFormat="1" ht="45.75" customHeight="1">
      <c r="B1448" s="23"/>
      <c r="C1448" s="23"/>
      <c r="E1448" s="24"/>
      <c r="G1448" s="25"/>
      <c r="I1448" s="26"/>
      <c r="J1448" s="27"/>
      <c r="K1448" s="27"/>
      <c r="L1448" s="27"/>
      <c r="M1448" s="27"/>
      <c r="N1448" s="23"/>
      <c r="O1448" s="28"/>
    </row>
    <row r="1449" spans="2:15" s="22" customFormat="1" ht="45.75" customHeight="1">
      <c r="B1449" s="23"/>
      <c r="C1449" s="23"/>
      <c r="E1449" s="24"/>
      <c r="G1449" s="25"/>
      <c r="I1449" s="26"/>
      <c r="J1449" s="27"/>
      <c r="K1449" s="27"/>
      <c r="L1449" s="27"/>
      <c r="M1449" s="27"/>
      <c r="N1449" s="23"/>
      <c r="O1449" s="28"/>
    </row>
    <row r="1450" spans="2:15" s="22" customFormat="1" ht="45.75" customHeight="1">
      <c r="B1450" s="23"/>
      <c r="C1450" s="23"/>
      <c r="E1450" s="24"/>
      <c r="G1450" s="25"/>
      <c r="I1450" s="26"/>
      <c r="J1450" s="27"/>
      <c r="K1450" s="27"/>
      <c r="L1450" s="27"/>
      <c r="M1450" s="27"/>
      <c r="N1450" s="23"/>
      <c r="O1450" s="28"/>
    </row>
    <row r="1451" spans="2:15" s="22" customFormat="1" ht="45.75" customHeight="1">
      <c r="B1451" s="23"/>
      <c r="C1451" s="23"/>
      <c r="E1451" s="24"/>
      <c r="G1451" s="25"/>
      <c r="I1451" s="26"/>
      <c r="J1451" s="27"/>
      <c r="K1451" s="27"/>
      <c r="L1451" s="27"/>
      <c r="M1451" s="27"/>
      <c r="N1451" s="23"/>
      <c r="O1451" s="28"/>
    </row>
    <row r="1452" spans="2:15" s="22" customFormat="1" ht="45.75" customHeight="1">
      <c r="B1452" s="23"/>
      <c r="C1452" s="23"/>
      <c r="E1452" s="24"/>
      <c r="G1452" s="25"/>
      <c r="I1452" s="26"/>
      <c r="J1452" s="27"/>
      <c r="K1452" s="27"/>
      <c r="L1452" s="27"/>
      <c r="M1452" s="27"/>
      <c r="N1452" s="23"/>
      <c r="O1452" s="28"/>
    </row>
    <row r="1453" spans="2:15" s="22" customFormat="1" ht="45.75" customHeight="1">
      <c r="B1453" s="23"/>
      <c r="C1453" s="23"/>
      <c r="E1453" s="24"/>
      <c r="G1453" s="25"/>
      <c r="I1453" s="26"/>
      <c r="J1453" s="27"/>
      <c r="K1453" s="27"/>
      <c r="L1453" s="27"/>
      <c r="M1453" s="27"/>
      <c r="N1453" s="23"/>
      <c r="O1453" s="28"/>
    </row>
    <row r="1454" spans="2:15" s="22" customFormat="1" ht="45.75" customHeight="1">
      <c r="B1454" s="23"/>
      <c r="C1454" s="23"/>
      <c r="E1454" s="24"/>
      <c r="G1454" s="25"/>
      <c r="I1454" s="26"/>
      <c r="J1454" s="27"/>
      <c r="K1454" s="27"/>
      <c r="L1454" s="27"/>
      <c r="M1454" s="27"/>
      <c r="N1454" s="23"/>
      <c r="O1454" s="28"/>
    </row>
    <row r="1455" spans="2:15" s="22" customFormat="1" ht="45.75" customHeight="1">
      <c r="B1455" s="23"/>
      <c r="C1455" s="23"/>
      <c r="E1455" s="24"/>
      <c r="G1455" s="25"/>
      <c r="I1455" s="26"/>
      <c r="J1455" s="27"/>
      <c r="K1455" s="27"/>
      <c r="L1455" s="27"/>
      <c r="M1455" s="27"/>
      <c r="N1455" s="23"/>
      <c r="O1455" s="28"/>
    </row>
    <row r="1456" spans="2:15" s="22" customFormat="1" ht="45.75" customHeight="1">
      <c r="B1456" s="23"/>
      <c r="C1456" s="23"/>
      <c r="E1456" s="24"/>
      <c r="G1456" s="25"/>
      <c r="I1456" s="26"/>
      <c r="J1456" s="27"/>
      <c r="K1456" s="27"/>
      <c r="L1456" s="27"/>
      <c r="M1456" s="27"/>
      <c r="N1456" s="23"/>
      <c r="O1456" s="28"/>
    </row>
    <row r="1457" spans="2:15" s="22" customFormat="1" ht="45.75" customHeight="1">
      <c r="B1457" s="23"/>
      <c r="C1457" s="23"/>
      <c r="E1457" s="24"/>
      <c r="G1457" s="25"/>
      <c r="I1457" s="26"/>
      <c r="J1457" s="27"/>
      <c r="K1457" s="27"/>
      <c r="L1457" s="27"/>
      <c r="M1457" s="27"/>
      <c r="N1457" s="23"/>
      <c r="O1457" s="28"/>
    </row>
    <row r="1458" spans="2:15" s="22" customFormat="1" ht="45.75" customHeight="1">
      <c r="B1458" s="23"/>
      <c r="C1458" s="23"/>
      <c r="E1458" s="24"/>
      <c r="G1458" s="25"/>
      <c r="I1458" s="26"/>
      <c r="J1458" s="27"/>
      <c r="K1458" s="27"/>
      <c r="L1458" s="27"/>
      <c r="M1458" s="27"/>
      <c r="N1458" s="23"/>
      <c r="O1458" s="28"/>
    </row>
    <row r="1459" spans="2:15" s="22" customFormat="1" ht="45.75" customHeight="1">
      <c r="B1459" s="23"/>
      <c r="C1459" s="23"/>
      <c r="E1459" s="24"/>
      <c r="G1459" s="25"/>
      <c r="I1459" s="26"/>
      <c r="J1459" s="27"/>
      <c r="K1459" s="27"/>
      <c r="L1459" s="27"/>
      <c r="M1459" s="27"/>
      <c r="N1459" s="23"/>
      <c r="O1459" s="28"/>
    </row>
    <row r="1460" spans="2:15" s="22" customFormat="1" ht="45.75" customHeight="1">
      <c r="B1460" s="23"/>
      <c r="C1460" s="23"/>
      <c r="E1460" s="24"/>
      <c r="G1460" s="25"/>
      <c r="I1460" s="26"/>
      <c r="J1460" s="27"/>
      <c r="K1460" s="27"/>
      <c r="L1460" s="27"/>
      <c r="M1460" s="27"/>
      <c r="N1460" s="23"/>
      <c r="O1460" s="28"/>
    </row>
    <row r="1461" spans="2:15" s="22" customFormat="1" ht="45.75" customHeight="1">
      <c r="B1461" s="23"/>
      <c r="C1461" s="23"/>
      <c r="E1461" s="24"/>
      <c r="G1461" s="25"/>
      <c r="I1461" s="26"/>
      <c r="J1461" s="27"/>
      <c r="K1461" s="27"/>
      <c r="L1461" s="27"/>
      <c r="M1461" s="27"/>
      <c r="N1461" s="23"/>
      <c r="O1461" s="28"/>
    </row>
    <row r="1462" spans="2:15" s="22" customFormat="1" ht="45.75" customHeight="1">
      <c r="B1462" s="23"/>
      <c r="C1462" s="23"/>
      <c r="E1462" s="24"/>
      <c r="G1462" s="25"/>
      <c r="I1462" s="26"/>
      <c r="J1462" s="27"/>
      <c r="K1462" s="27"/>
      <c r="L1462" s="27"/>
      <c r="M1462" s="27"/>
      <c r="N1462" s="23"/>
      <c r="O1462" s="28"/>
    </row>
    <row r="1463" spans="2:15" s="22" customFormat="1" ht="45.75" customHeight="1">
      <c r="B1463" s="23"/>
      <c r="C1463" s="23"/>
      <c r="E1463" s="24"/>
      <c r="G1463" s="25"/>
      <c r="I1463" s="26"/>
      <c r="J1463" s="27"/>
      <c r="K1463" s="27"/>
      <c r="L1463" s="27"/>
      <c r="M1463" s="27"/>
      <c r="N1463" s="23"/>
      <c r="O1463" s="28"/>
    </row>
    <row r="1464" spans="2:15" s="22" customFormat="1" ht="45.75" customHeight="1">
      <c r="B1464" s="23"/>
      <c r="C1464" s="23"/>
      <c r="E1464" s="24"/>
      <c r="G1464" s="25"/>
      <c r="I1464" s="26"/>
      <c r="J1464" s="27"/>
      <c r="K1464" s="27"/>
      <c r="L1464" s="27"/>
      <c r="M1464" s="27"/>
      <c r="N1464" s="23"/>
      <c r="O1464" s="28"/>
    </row>
    <row r="1465" spans="2:15" s="22" customFormat="1" ht="45.75" customHeight="1">
      <c r="B1465" s="23"/>
      <c r="C1465" s="23"/>
      <c r="E1465" s="24"/>
      <c r="G1465" s="25"/>
      <c r="I1465" s="26"/>
      <c r="J1465" s="27"/>
      <c r="K1465" s="27"/>
      <c r="L1465" s="27"/>
      <c r="M1465" s="27"/>
      <c r="N1465" s="23"/>
      <c r="O1465" s="28"/>
    </row>
    <row r="1466" spans="2:15" s="22" customFormat="1" ht="45.75" customHeight="1">
      <c r="B1466" s="23"/>
      <c r="C1466" s="23"/>
      <c r="E1466" s="24"/>
      <c r="G1466" s="25"/>
      <c r="I1466" s="26"/>
      <c r="J1466" s="27"/>
      <c r="K1466" s="27"/>
      <c r="L1466" s="27"/>
      <c r="M1466" s="27"/>
      <c r="N1466" s="23"/>
      <c r="O1466" s="28"/>
    </row>
    <row r="1467" spans="2:15" s="22" customFormat="1" ht="45.75" customHeight="1">
      <c r="B1467" s="23"/>
      <c r="C1467" s="23"/>
      <c r="E1467" s="24"/>
      <c r="G1467" s="25"/>
      <c r="I1467" s="26"/>
      <c r="J1467" s="27"/>
      <c r="K1467" s="27"/>
      <c r="L1467" s="27"/>
      <c r="M1467" s="27"/>
      <c r="N1467" s="23"/>
      <c r="O1467" s="28"/>
    </row>
    <row r="1468" spans="2:15" s="22" customFormat="1" ht="45.75" customHeight="1">
      <c r="B1468" s="23"/>
      <c r="C1468" s="23"/>
      <c r="E1468" s="24"/>
      <c r="G1468" s="25"/>
      <c r="I1468" s="26"/>
      <c r="J1468" s="27"/>
      <c r="K1468" s="27"/>
      <c r="L1468" s="27"/>
      <c r="M1468" s="27"/>
      <c r="N1468" s="23"/>
      <c r="O1468" s="28"/>
    </row>
    <row r="1469" spans="2:15" s="22" customFormat="1" ht="45.75" customHeight="1">
      <c r="B1469" s="23"/>
      <c r="C1469" s="23"/>
      <c r="E1469" s="24"/>
      <c r="G1469" s="25"/>
      <c r="I1469" s="26"/>
      <c r="J1469" s="27"/>
      <c r="K1469" s="27"/>
      <c r="L1469" s="27"/>
      <c r="M1469" s="27"/>
      <c r="N1469" s="23"/>
      <c r="O1469" s="28"/>
    </row>
    <row r="1470" spans="2:15" s="22" customFormat="1" ht="45.75" customHeight="1">
      <c r="B1470" s="23"/>
      <c r="C1470" s="23"/>
      <c r="E1470" s="24"/>
      <c r="G1470" s="25"/>
      <c r="I1470" s="26"/>
      <c r="J1470" s="27"/>
      <c r="K1470" s="27"/>
      <c r="L1470" s="27"/>
      <c r="M1470" s="27"/>
      <c r="N1470" s="23"/>
      <c r="O1470" s="28"/>
    </row>
    <row r="1471" spans="2:15" s="22" customFormat="1" ht="45.75" customHeight="1">
      <c r="B1471" s="23"/>
      <c r="C1471" s="23"/>
      <c r="E1471" s="24"/>
      <c r="G1471" s="25"/>
      <c r="I1471" s="26"/>
      <c r="J1471" s="27"/>
      <c r="K1471" s="27"/>
      <c r="L1471" s="27"/>
      <c r="M1471" s="27"/>
      <c r="N1471" s="23"/>
      <c r="O1471" s="28"/>
    </row>
    <row r="1472" spans="2:15" s="22" customFormat="1" ht="45.75" customHeight="1">
      <c r="B1472" s="23"/>
      <c r="C1472" s="23"/>
      <c r="E1472" s="24"/>
      <c r="G1472" s="25"/>
      <c r="I1472" s="26"/>
      <c r="J1472" s="27"/>
      <c r="K1472" s="27"/>
      <c r="L1472" s="27"/>
      <c r="M1472" s="27"/>
      <c r="N1472" s="23"/>
      <c r="O1472" s="28"/>
    </row>
    <row r="1473" spans="2:15" s="22" customFormat="1" ht="45.75" customHeight="1">
      <c r="B1473" s="23"/>
      <c r="C1473" s="23"/>
      <c r="E1473" s="24"/>
      <c r="G1473" s="25"/>
      <c r="I1473" s="26"/>
      <c r="J1473" s="27"/>
      <c r="K1473" s="27"/>
      <c r="L1473" s="27"/>
      <c r="M1473" s="27"/>
      <c r="N1473" s="23"/>
      <c r="O1473" s="28"/>
    </row>
    <row r="1474" spans="2:15" s="22" customFormat="1" ht="45.75" customHeight="1">
      <c r="B1474" s="23"/>
      <c r="C1474" s="23"/>
      <c r="E1474" s="24"/>
      <c r="G1474" s="25"/>
      <c r="I1474" s="26"/>
      <c r="J1474" s="27"/>
      <c r="K1474" s="27"/>
      <c r="L1474" s="27"/>
      <c r="M1474" s="27"/>
      <c r="N1474" s="23"/>
      <c r="O1474" s="28"/>
    </row>
    <row r="1475" spans="2:15" s="22" customFormat="1" ht="45.75" customHeight="1">
      <c r="B1475" s="23"/>
      <c r="C1475" s="23"/>
      <c r="E1475" s="24"/>
      <c r="G1475" s="25"/>
      <c r="I1475" s="26"/>
      <c r="J1475" s="27"/>
      <c r="K1475" s="27"/>
      <c r="L1475" s="27"/>
      <c r="M1475" s="27"/>
      <c r="N1475" s="23"/>
      <c r="O1475" s="28"/>
    </row>
    <row r="1476" spans="2:15" s="22" customFormat="1" ht="45.75" customHeight="1">
      <c r="B1476" s="23"/>
      <c r="C1476" s="23"/>
      <c r="E1476" s="24"/>
      <c r="G1476" s="25"/>
      <c r="I1476" s="26"/>
      <c r="J1476" s="27"/>
      <c r="K1476" s="27"/>
      <c r="L1476" s="27"/>
      <c r="M1476" s="27"/>
      <c r="N1476" s="23"/>
      <c r="O1476" s="28"/>
    </row>
    <row r="1477" spans="2:15" s="22" customFormat="1" ht="45.75" customHeight="1">
      <c r="B1477" s="23"/>
      <c r="C1477" s="23"/>
      <c r="E1477" s="24"/>
      <c r="G1477" s="25"/>
      <c r="I1477" s="26"/>
      <c r="J1477" s="27"/>
      <c r="K1477" s="27"/>
      <c r="L1477" s="27"/>
      <c r="M1477" s="27"/>
      <c r="N1477" s="23"/>
      <c r="O1477" s="28"/>
    </row>
    <row r="1478" spans="2:15" s="22" customFormat="1" ht="45.75" customHeight="1">
      <c r="B1478" s="23"/>
      <c r="C1478" s="23"/>
      <c r="E1478" s="24"/>
      <c r="G1478" s="25"/>
      <c r="I1478" s="26"/>
      <c r="J1478" s="27"/>
      <c r="K1478" s="27"/>
      <c r="L1478" s="27"/>
      <c r="M1478" s="27"/>
      <c r="N1478" s="23"/>
      <c r="O1478" s="28"/>
    </row>
    <row r="1479" spans="2:15" s="22" customFormat="1" ht="45.75" customHeight="1">
      <c r="B1479" s="23"/>
      <c r="C1479" s="23"/>
      <c r="E1479" s="24"/>
      <c r="G1479" s="25"/>
      <c r="I1479" s="26"/>
      <c r="J1479" s="27"/>
      <c r="K1479" s="27"/>
      <c r="L1479" s="27"/>
      <c r="M1479" s="27"/>
      <c r="N1479" s="23"/>
      <c r="O1479" s="28"/>
    </row>
    <row r="1480" spans="2:15" s="22" customFormat="1" ht="45.75" customHeight="1">
      <c r="B1480" s="23"/>
      <c r="C1480" s="23"/>
      <c r="E1480" s="24"/>
      <c r="G1480" s="25"/>
      <c r="I1480" s="26"/>
      <c r="J1480" s="27"/>
      <c r="K1480" s="27"/>
      <c r="L1480" s="27"/>
      <c r="M1480" s="27"/>
      <c r="N1480" s="23"/>
      <c r="O1480" s="28"/>
    </row>
    <row r="1481" spans="2:15" s="22" customFormat="1" ht="45.75" customHeight="1">
      <c r="B1481" s="23"/>
      <c r="C1481" s="23"/>
      <c r="E1481" s="24"/>
      <c r="G1481" s="25"/>
      <c r="I1481" s="26"/>
      <c r="J1481" s="27"/>
      <c r="K1481" s="27"/>
      <c r="L1481" s="27"/>
      <c r="M1481" s="27"/>
      <c r="N1481" s="23"/>
      <c r="O1481" s="28"/>
    </row>
    <row r="1482" spans="2:15" s="22" customFormat="1" ht="45.75" customHeight="1">
      <c r="B1482" s="23"/>
      <c r="C1482" s="23"/>
      <c r="E1482" s="24"/>
      <c r="G1482" s="25"/>
      <c r="I1482" s="26"/>
      <c r="J1482" s="27"/>
      <c r="K1482" s="27"/>
      <c r="L1482" s="27"/>
      <c r="M1482" s="27"/>
      <c r="N1482" s="23"/>
      <c r="O1482" s="28"/>
    </row>
    <row r="1483" spans="2:15" s="22" customFormat="1" ht="45.75" customHeight="1">
      <c r="B1483" s="23"/>
      <c r="C1483" s="23"/>
      <c r="E1483" s="24"/>
      <c r="G1483" s="25"/>
      <c r="I1483" s="26"/>
      <c r="J1483" s="27"/>
      <c r="K1483" s="27"/>
      <c r="L1483" s="27"/>
      <c r="M1483" s="27"/>
      <c r="N1483" s="23"/>
      <c r="O1483" s="28"/>
    </row>
    <row r="1484" spans="2:15" s="22" customFormat="1" ht="45.75" customHeight="1">
      <c r="B1484" s="23"/>
      <c r="C1484" s="23"/>
      <c r="E1484" s="24"/>
      <c r="G1484" s="25"/>
      <c r="I1484" s="26"/>
      <c r="J1484" s="27"/>
      <c r="K1484" s="27"/>
      <c r="L1484" s="27"/>
      <c r="M1484" s="27"/>
      <c r="N1484" s="23"/>
      <c r="O1484" s="28"/>
    </row>
    <row r="1485" spans="2:15" s="22" customFormat="1" ht="45.75" customHeight="1">
      <c r="B1485" s="23"/>
      <c r="C1485" s="23"/>
      <c r="E1485" s="24"/>
      <c r="G1485" s="25"/>
      <c r="I1485" s="26"/>
      <c r="J1485" s="27"/>
      <c r="K1485" s="27"/>
      <c r="L1485" s="27"/>
      <c r="M1485" s="27"/>
      <c r="N1485" s="23"/>
      <c r="O1485" s="28"/>
    </row>
    <row r="1486" spans="2:15" s="22" customFormat="1" ht="45.75" customHeight="1">
      <c r="B1486" s="23"/>
      <c r="C1486" s="23"/>
      <c r="E1486" s="24"/>
      <c r="G1486" s="25"/>
      <c r="I1486" s="26"/>
      <c r="J1486" s="27"/>
      <c r="K1486" s="27"/>
      <c r="L1486" s="27"/>
      <c r="M1486" s="27"/>
      <c r="N1486" s="23"/>
      <c r="O1486" s="28"/>
    </row>
    <row r="1487" spans="2:15" s="22" customFormat="1" ht="45.75" customHeight="1">
      <c r="B1487" s="23"/>
      <c r="C1487" s="23"/>
      <c r="E1487" s="24"/>
      <c r="G1487" s="25"/>
      <c r="I1487" s="26"/>
      <c r="J1487" s="27"/>
      <c r="K1487" s="27"/>
      <c r="L1487" s="27"/>
      <c r="M1487" s="27"/>
      <c r="N1487" s="23"/>
      <c r="O1487" s="28"/>
    </row>
    <row r="1488" spans="2:15" s="22" customFormat="1" ht="45.75" customHeight="1">
      <c r="B1488" s="23"/>
      <c r="C1488" s="23"/>
      <c r="E1488" s="24"/>
      <c r="G1488" s="25"/>
      <c r="I1488" s="26"/>
      <c r="J1488" s="27"/>
      <c r="K1488" s="27"/>
      <c r="L1488" s="27"/>
      <c r="M1488" s="27"/>
      <c r="N1488" s="23"/>
      <c r="O1488" s="28"/>
    </row>
    <row r="1489" spans="2:15" s="22" customFormat="1" ht="45.75" customHeight="1">
      <c r="B1489" s="23"/>
      <c r="C1489" s="23"/>
      <c r="E1489" s="24"/>
      <c r="G1489" s="25"/>
      <c r="I1489" s="26"/>
      <c r="J1489" s="27"/>
      <c r="K1489" s="27"/>
      <c r="L1489" s="27"/>
      <c r="M1489" s="27"/>
      <c r="N1489" s="23"/>
      <c r="O1489" s="28"/>
    </row>
    <row r="1490" spans="2:15" s="22" customFormat="1" ht="45.75" customHeight="1">
      <c r="B1490" s="23"/>
      <c r="C1490" s="23"/>
      <c r="E1490" s="24"/>
      <c r="G1490" s="25"/>
      <c r="I1490" s="26"/>
      <c r="J1490" s="27"/>
      <c r="K1490" s="27"/>
      <c r="L1490" s="27"/>
      <c r="M1490" s="27"/>
      <c r="N1490" s="23"/>
      <c r="O1490" s="28"/>
    </row>
    <row r="1491" spans="2:15" s="22" customFormat="1" ht="45.75" customHeight="1">
      <c r="B1491" s="23"/>
      <c r="C1491" s="23"/>
      <c r="E1491" s="24"/>
      <c r="G1491" s="25"/>
      <c r="I1491" s="26"/>
      <c r="J1491" s="27"/>
      <c r="K1491" s="27"/>
      <c r="L1491" s="27"/>
      <c r="M1491" s="27"/>
      <c r="N1491" s="23"/>
      <c r="O1491" s="28"/>
    </row>
    <row r="1492" spans="2:15" s="22" customFormat="1" ht="45.75" customHeight="1">
      <c r="B1492" s="23"/>
      <c r="C1492" s="23"/>
      <c r="E1492" s="24"/>
      <c r="G1492" s="25"/>
      <c r="I1492" s="26"/>
      <c r="J1492" s="27"/>
      <c r="K1492" s="27"/>
      <c r="L1492" s="27"/>
      <c r="M1492" s="27"/>
      <c r="N1492" s="23"/>
      <c r="O1492" s="28"/>
    </row>
    <row r="1493" spans="2:15" s="22" customFormat="1" ht="45.75" customHeight="1">
      <c r="B1493" s="23"/>
      <c r="C1493" s="23"/>
      <c r="E1493" s="24"/>
      <c r="G1493" s="25"/>
      <c r="I1493" s="26"/>
      <c r="J1493" s="27"/>
      <c r="K1493" s="27"/>
      <c r="L1493" s="27"/>
      <c r="M1493" s="27"/>
      <c r="N1493" s="23"/>
      <c r="O1493" s="28"/>
    </row>
    <row r="1494" spans="2:15" s="22" customFormat="1" ht="45.75" customHeight="1">
      <c r="B1494" s="23"/>
      <c r="C1494" s="23"/>
      <c r="E1494" s="24"/>
      <c r="G1494" s="25"/>
      <c r="I1494" s="26"/>
      <c r="J1494" s="27"/>
      <c r="K1494" s="27"/>
      <c r="L1494" s="27"/>
      <c r="M1494" s="27"/>
      <c r="N1494" s="23"/>
      <c r="O1494" s="28"/>
    </row>
    <row r="1495" spans="2:15" s="22" customFormat="1" ht="45.75" customHeight="1">
      <c r="B1495" s="23"/>
      <c r="C1495" s="23"/>
      <c r="E1495" s="24"/>
      <c r="G1495" s="25"/>
      <c r="I1495" s="26"/>
      <c r="J1495" s="27"/>
      <c r="K1495" s="27"/>
      <c r="L1495" s="27"/>
      <c r="M1495" s="27"/>
      <c r="N1495" s="23"/>
      <c r="O1495" s="28"/>
    </row>
    <row r="1496" spans="2:15" s="22" customFormat="1" ht="45.75" customHeight="1">
      <c r="B1496" s="23"/>
      <c r="C1496" s="23"/>
      <c r="E1496" s="24"/>
      <c r="G1496" s="25"/>
      <c r="I1496" s="26"/>
      <c r="J1496" s="27"/>
      <c r="K1496" s="27"/>
      <c r="L1496" s="27"/>
      <c r="M1496" s="27"/>
      <c r="N1496" s="23"/>
      <c r="O1496" s="28"/>
    </row>
    <row r="1497" spans="2:15" s="22" customFormat="1" ht="45.75" customHeight="1">
      <c r="B1497" s="23"/>
      <c r="C1497" s="23"/>
      <c r="E1497" s="24"/>
      <c r="G1497" s="25"/>
      <c r="I1497" s="26"/>
      <c r="J1497" s="27"/>
      <c r="K1497" s="27"/>
      <c r="L1497" s="27"/>
      <c r="M1497" s="27"/>
      <c r="N1497" s="23"/>
      <c r="O1497" s="28"/>
    </row>
    <row r="1498" spans="2:15" s="22" customFormat="1" ht="45.75" customHeight="1">
      <c r="B1498" s="23"/>
      <c r="C1498" s="23"/>
      <c r="E1498" s="24"/>
      <c r="G1498" s="25"/>
      <c r="I1498" s="26"/>
      <c r="J1498" s="27"/>
      <c r="K1498" s="27"/>
      <c r="L1498" s="27"/>
      <c r="M1498" s="27"/>
      <c r="N1498" s="23"/>
      <c r="O1498" s="28"/>
    </row>
    <row r="1499" spans="2:15" s="22" customFormat="1" ht="45.75" customHeight="1">
      <c r="B1499" s="23"/>
      <c r="C1499" s="23"/>
      <c r="E1499" s="24"/>
      <c r="G1499" s="25"/>
      <c r="I1499" s="26"/>
      <c r="J1499" s="27"/>
      <c r="K1499" s="27"/>
      <c r="L1499" s="27"/>
      <c r="M1499" s="27"/>
      <c r="N1499" s="23"/>
      <c r="O1499" s="28"/>
    </row>
    <row r="1500" spans="2:15" s="22" customFormat="1" ht="45.75" customHeight="1">
      <c r="B1500" s="23"/>
      <c r="C1500" s="23"/>
      <c r="E1500" s="24"/>
      <c r="G1500" s="25"/>
      <c r="I1500" s="26"/>
      <c r="J1500" s="27"/>
      <c r="K1500" s="27"/>
      <c r="L1500" s="27"/>
      <c r="M1500" s="27"/>
      <c r="N1500" s="23"/>
      <c r="O1500" s="28"/>
    </row>
    <row r="1501" spans="2:15" s="22" customFormat="1" ht="45.75" customHeight="1">
      <c r="B1501" s="23"/>
      <c r="C1501" s="23"/>
      <c r="E1501" s="24"/>
      <c r="G1501" s="25"/>
      <c r="I1501" s="26"/>
      <c r="J1501" s="27"/>
      <c r="K1501" s="27"/>
      <c r="L1501" s="27"/>
      <c r="M1501" s="27"/>
      <c r="N1501" s="23"/>
      <c r="O1501" s="28"/>
    </row>
    <row r="1502" spans="2:15" s="22" customFormat="1" ht="45.75" customHeight="1">
      <c r="B1502" s="23"/>
      <c r="C1502" s="23"/>
      <c r="E1502" s="24"/>
      <c r="G1502" s="25"/>
      <c r="I1502" s="26"/>
      <c r="J1502" s="27"/>
      <c r="K1502" s="27"/>
      <c r="L1502" s="27"/>
      <c r="M1502" s="27"/>
      <c r="N1502" s="23"/>
      <c r="O1502" s="28"/>
    </row>
    <row r="1503" spans="2:15" s="22" customFormat="1" ht="45.75" customHeight="1">
      <c r="B1503" s="23"/>
      <c r="C1503" s="23"/>
      <c r="E1503" s="24"/>
      <c r="G1503" s="25"/>
      <c r="I1503" s="26"/>
      <c r="J1503" s="27"/>
      <c r="K1503" s="27"/>
      <c r="L1503" s="27"/>
      <c r="M1503" s="27"/>
      <c r="N1503" s="23"/>
      <c r="O1503" s="28"/>
    </row>
    <row r="1504" spans="2:15" s="22" customFormat="1" ht="45.75" customHeight="1">
      <c r="B1504" s="23"/>
      <c r="C1504" s="23"/>
      <c r="E1504" s="24"/>
      <c r="G1504" s="25"/>
      <c r="I1504" s="26"/>
      <c r="J1504" s="27"/>
      <c r="K1504" s="27"/>
      <c r="L1504" s="27"/>
      <c r="M1504" s="27"/>
      <c r="N1504" s="23"/>
      <c r="O1504" s="28"/>
    </row>
    <row r="1505" spans="2:15" s="22" customFormat="1" ht="45.75" customHeight="1">
      <c r="B1505" s="23"/>
      <c r="C1505" s="23"/>
      <c r="E1505" s="24"/>
      <c r="G1505" s="25"/>
      <c r="I1505" s="26"/>
      <c r="J1505" s="27"/>
      <c r="K1505" s="27"/>
      <c r="L1505" s="27"/>
      <c r="M1505" s="27"/>
      <c r="N1505" s="23"/>
      <c r="O1505" s="28"/>
    </row>
    <row r="1506" spans="2:15" s="22" customFormat="1" ht="45.75" customHeight="1">
      <c r="B1506" s="23"/>
      <c r="C1506" s="23"/>
      <c r="E1506" s="24"/>
      <c r="G1506" s="25"/>
      <c r="I1506" s="26"/>
      <c r="J1506" s="27"/>
      <c r="K1506" s="27"/>
      <c r="L1506" s="27"/>
      <c r="M1506" s="27"/>
      <c r="N1506" s="23"/>
      <c r="O1506" s="28"/>
    </row>
    <row r="1507" spans="2:15" s="22" customFormat="1" ht="45.75" customHeight="1">
      <c r="B1507" s="23"/>
      <c r="C1507" s="23"/>
      <c r="E1507" s="24"/>
      <c r="G1507" s="25"/>
      <c r="I1507" s="26"/>
      <c r="J1507" s="27"/>
      <c r="K1507" s="27"/>
      <c r="L1507" s="27"/>
      <c r="M1507" s="27"/>
      <c r="N1507" s="23"/>
      <c r="O1507" s="28"/>
    </row>
    <row r="1508" spans="2:15" s="22" customFormat="1" ht="45.75" customHeight="1">
      <c r="B1508" s="23"/>
      <c r="C1508" s="23"/>
      <c r="E1508" s="24"/>
      <c r="G1508" s="25"/>
      <c r="I1508" s="26"/>
      <c r="J1508" s="27"/>
      <c r="K1508" s="27"/>
      <c r="L1508" s="27"/>
      <c r="M1508" s="27"/>
      <c r="N1508" s="23"/>
      <c r="O1508" s="28"/>
    </row>
    <row r="1509" spans="2:15" s="22" customFormat="1" ht="45.75" customHeight="1">
      <c r="B1509" s="23"/>
      <c r="C1509" s="23"/>
      <c r="E1509" s="24"/>
      <c r="G1509" s="25"/>
      <c r="I1509" s="26"/>
      <c r="J1509" s="27"/>
      <c r="K1509" s="27"/>
      <c r="L1509" s="27"/>
      <c r="M1509" s="27"/>
      <c r="N1509" s="23"/>
      <c r="O1509" s="28"/>
    </row>
    <row r="1510" spans="2:15" s="22" customFormat="1" ht="45.75" customHeight="1">
      <c r="B1510" s="23"/>
      <c r="C1510" s="23"/>
      <c r="E1510" s="24"/>
      <c r="G1510" s="25"/>
      <c r="I1510" s="26"/>
      <c r="J1510" s="27"/>
      <c r="K1510" s="27"/>
      <c r="L1510" s="27"/>
      <c r="M1510" s="27"/>
      <c r="N1510" s="23"/>
      <c r="O1510" s="28"/>
    </row>
    <row r="1511" spans="2:15" s="22" customFormat="1" ht="45.75" customHeight="1">
      <c r="B1511" s="23"/>
      <c r="C1511" s="23"/>
      <c r="E1511" s="24"/>
      <c r="G1511" s="25"/>
      <c r="I1511" s="26"/>
      <c r="J1511" s="27"/>
      <c r="K1511" s="27"/>
      <c r="L1511" s="27"/>
      <c r="M1511" s="27"/>
      <c r="N1511" s="23"/>
      <c r="O1511" s="28"/>
    </row>
    <row r="1512" spans="2:15" s="22" customFormat="1" ht="45.75" customHeight="1">
      <c r="B1512" s="23"/>
      <c r="C1512" s="23"/>
      <c r="E1512" s="24"/>
      <c r="G1512" s="25"/>
      <c r="I1512" s="26"/>
      <c r="J1512" s="27"/>
      <c r="K1512" s="27"/>
      <c r="L1512" s="27"/>
      <c r="M1512" s="27"/>
      <c r="N1512" s="23"/>
      <c r="O1512" s="28"/>
    </row>
    <row r="1513" spans="2:15" s="22" customFormat="1" ht="45.75" customHeight="1">
      <c r="B1513" s="23"/>
      <c r="C1513" s="23"/>
      <c r="E1513" s="24"/>
      <c r="G1513" s="25"/>
      <c r="I1513" s="26"/>
      <c r="J1513" s="27"/>
      <c r="K1513" s="27"/>
      <c r="L1513" s="27"/>
      <c r="M1513" s="27"/>
      <c r="N1513" s="23"/>
      <c r="O1513" s="28"/>
    </row>
    <row r="1514" spans="2:15" s="22" customFormat="1" ht="45.75" customHeight="1">
      <c r="B1514" s="23"/>
      <c r="C1514" s="23"/>
      <c r="E1514" s="24"/>
      <c r="G1514" s="25"/>
      <c r="I1514" s="26"/>
      <c r="J1514" s="27"/>
      <c r="K1514" s="27"/>
      <c r="L1514" s="27"/>
      <c r="M1514" s="27"/>
      <c r="N1514" s="23"/>
      <c r="O1514" s="28"/>
    </row>
    <row r="1515" spans="2:15" s="22" customFormat="1" ht="45.75" customHeight="1">
      <c r="B1515" s="23"/>
      <c r="C1515" s="23"/>
      <c r="E1515" s="24"/>
      <c r="G1515" s="25"/>
      <c r="I1515" s="26"/>
      <c r="J1515" s="27"/>
      <c r="K1515" s="27"/>
      <c r="L1515" s="27"/>
      <c r="M1515" s="27"/>
      <c r="N1515" s="23"/>
      <c r="O1515" s="28"/>
    </row>
    <row r="1516" spans="2:15" s="22" customFormat="1" ht="45.75" customHeight="1">
      <c r="B1516" s="23"/>
      <c r="C1516" s="23"/>
      <c r="E1516" s="24"/>
      <c r="G1516" s="25"/>
      <c r="I1516" s="26"/>
      <c r="J1516" s="27"/>
      <c r="K1516" s="27"/>
      <c r="L1516" s="27"/>
      <c r="M1516" s="27"/>
      <c r="N1516" s="23"/>
      <c r="O1516" s="28"/>
    </row>
    <row r="1517" spans="2:15" s="22" customFormat="1" ht="45.75" customHeight="1">
      <c r="B1517" s="23"/>
      <c r="C1517" s="23"/>
      <c r="E1517" s="24"/>
      <c r="G1517" s="25"/>
      <c r="I1517" s="26"/>
      <c r="J1517" s="27"/>
      <c r="K1517" s="27"/>
      <c r="L1517" s="27"/>
      <c r="M1517" s="27"/>
      <c r="N1517" s="23"/>
      <c r="O1517" s="28"/>
    </row>
    <row r="1518" spans="2:15" s="22" customFormat="1" ht="45.75" customHeight="1">
      <c r="B1518" s="23"/>
      <c r="C1518" s="23"/>
      <c r="E1518" s="24"/>
      <c r="G1518" s="25"/>
      <c r="I1518" s="26"/>
      <c r="J1518" s="27"/>
      <c r="K1518" s="27"/>
      <c r="L1518" s="27"/>
      <c r="M1518" s="27"/>
      <c r="N1518" s="23"/>
      <c r="O1518" s="28"/>
    </row>
    <row r="1519" spans="2:15" s="22" customFormat="1" ht="45.75" customHeight="1">
      <c r="B1519" s="23"/>
      <c r="C1519" s="23"/>
      <c r="E1519" s="24"/>
      <c r="G1519" s="25"/>
      <c r="I1519" s="26"/>
      <c r="J1519" s="27"/>
      <c r="K1519" s="27"/>
      <c r="L1519" s="27"/>
      <c r="M1519" s="27"/>
      <c r="N1519" s="23"/>
      <c r="O1519" s="28"/>
    </row>
    <row r="1520" spans="2:15" s="22" customFormat="1" ht="45.75" customHeight="1">
      <c r="B1520" s="23"/>
      <c r="C1520" s="23"/>
      <c r="E1520" s="24"/>
      <c r="G1520" s="25"/>
      <c r="I1520" s="26"/>
      <c r="J1520" s="27"/>
      <c r="K1520" s="27"/>
      <c r="L1520" s="27"/>
      <c r="M1520" s="27"/>
      <c r="N1520" s="23"/>
      <c r="O1520" s="28"/>
    </row>
    <row r="1521" spans="2:15" s="22" customFormat="1" ht="45.75" customHeight="1">
      <c r="B1521" s="23"/>
      <c r="C1521" s="23"/>
      <c r="E1521" s="24"/>
      <c r="G1521" s="25"/>
      <c r="I1521" s="26"/>
      <c r="J1521" s="27"/>
      <c r="K1521" s="27"/>
      <c r="L1521" s="27"/>
      <c r="M1521" s="27"/>
      <c r="N1521" s="23"/>
      <c r="O1521" s="28"/>
    </row>
    <row r="1522" spans="2:15" s="22" customFormat="1" ht="45.75" customHeight="1">
      <c r="B1522" s="23"/>
      <c r="C1522" s="23"/>
      <c r="E1522" s="24"/>
      <c r="G1522" s="25"/>
      <c r="I1522" s="26"/>
      <c r="J1522" s="27"/>
      <c r="K1522" s="27"/>
      <c r="L1522" s="27"/>
      <c r="M1522" s="27"/>
      <c r="N1522" s="23"/>
      <c r="O1522" s="28"/>
    </row>
    <row r="1523" spans="2:15" s="22" customFormat="1" ht="45.75" customHeight="1">
      <c r="B1523" s="23"/>
      <c r="C1523" s="23"/>
      <c r="E1523" s="24"/>
      <c r="G1523" s="25"/>
      <c r="I1523" s="26"/>
      <c r="J1523" s="27"/>
      <c r="K1523" s="27"/>
      <c r="L1523" s="27"/>
      <c r="M1523" s="27"/>
      <c r="N1523" s="23"/>
      <c r="O1523" s="28"/>
    </row>
    <row r="1524" spans="2:15" s="22" customFormat="1" ht="45.75" customHeight="1">
      <c r="B1524" s="23"/>
      <c r="C1524" s="23"/>
      <c r="E1524" s="24"/>
      <c r="G1524" s="25"/>
      <c r="I1524" s="26"/>
      <c r="J1524" s="27"/>
      <c r="K1524" s="27"/>
      <c r="L1524" s="27"/>
      <c r="M1524" s="27"/>
      <c r="N1524" s="23"/>
      <c r="O1524" s="28"/>
    </row>
    <row r="1525" spans="2:15" s="22" customFormat="1" ht="45.75" customHeight="1">
      <c r="B1525" s="23"/>
      <c r="C1525" s="23"/>
      <c r="E1525" s="24"/>
      <c r="G1525" s="25"/>
      <c r="I1525" s="26"/>
      <c r="J1525" s="27"/>
      <c r="K1525" s="27"/>
      <c r="L1525" s="27"/>
      <c r="M1525" s="27"/>
      <c r="N1525" s="23"/>
      <c r="O1525" s="28"/>
    </row>
    <row r="1526" spans="2:15" s="22" customFormat="1" ht="45.75" customHeight="1">
      <c r="B1526" s="23"/>
      <c r="C1526" s="23"/>
      <c r="E1526" s="24"/>
      <c r="G1526" s="25"/>
      <c r="I1526" s="26"/>
      <c r="J1526" s="27"/>
      <c r="K1526" s="27"/>
      <c r="L1526" s="27"/>
      <c r="M1526" s="27"/>
      <c r="N1526" s="23"/>
      <c r="O1526" s="28"/>
    </row>
    <row r="1527" spans="2:15" s="22" customFormat="1" ht="45.75" customHeight="1">
      <c r="B1527" s="23"/>
      <c r="C1527" s="23"/>
      <c r="E1527" s="24"/>
      <c r="G1527" s="25"/>
      <c r="I1527" s="26"/>
      <c r="J1527" s="27"/>
      <c r="K1527" s="27"/>
      <c r="L1527" s="27"/>
      <c r="M1527" s="27"/>
      <c r="N1527" s="23"/>
      <c r="O1527" s="28"/>
    </row>
    <row r="1528" spans="2:15" s="22" customFormat="1" ht="45.75" customHeight="1">
      <c r="B1528" s="23"/>
      <c r="C1528" s="23"/>
      <c r="E1528" s="24"/>
      <c r="G1528" s="25"/>
      <c r="I1528" s="26"/>
      <c r="J1528" s="27"/>
      <c r="K1528" s="27"/>
      <c r="L1528" s="27"/>
      <c r="M1528" s="27"/>
      <c r="N1528" s="23"/>
      <c r="O1528" s="28"/>
    </row>
    <row r="1529" spans="2:15" s="22" customFormat="1" ht="45.75" customHeight="1">
      <c r="B1529" s="23"/>
      <c r="C1529" s="23"/>
      <c r="E1529" s="24"/>
      <c r="G1529" s="25"/>
      <c r="I1529" s="26"/>
      <c r="J1529" s="27"/>
      <c r="K1529" s="27"/>
      <c r="L1529" s="27"/>
      <c r="M1529" s="27"/>
      <c r="N1529" s="23"/>
      <c r="O1529" s="28"/>
    </row>
    <row r="1530" spans="2:15" s="22" customFormat="1" ht="45.75" customHeight="1">
      <c r="B1530" s="23"/>
      <c r="C1530" s="23"/>
      <c r="E1530" s="24"/>
      <c r="G1530" s="25"/>
      <c r="I1530" s="26"/>
      <c r="J1530" s="27"/>
      <c r="K1530" s="27"/>
      <c r="L1530" s="27"/>
      <c r="M1530" s="27"/>
      <c r="N1530" s="23"/>
      <c r="O1530" s="28"/>
    </row>
    <row r="1531" spans="2:15" s="22" customFormat="1" ht="45.75" customHeight="1">
      <c r="B1531" s="23"/>
      <c r="C1531" s="23"/>
      <c r="E1531" s="24"/>
      <c r="G1531" s="25"/>
      <c r="I1531" s="26"/>
      <c r="J1531" s="27"/>
      <c r="K1531" s="27"/>
      <c r="L1531" s="27"/>
      <c r="M1531" s="27"/>
      <c r="N1531" s="23"/>
      <c r="O1531" s="28"/>
    </row>
    <row r="1532" spans="2:15" s="22" customFormat="1" ht="45.75" customHeight="1">
      <c r="B1532" s="23"/>
      <c r="C1532" s="23"/>
      <c r="E1532" s="24"/>
      <c r="G1532" s="25"/>
      <c r="I1532" s="26"/>
      <c r="J1532" s="27"/>
      <c r="K1532" s="27"/>
      <c r="L1532" s="27"/>
      <c r="M1532" s="27"/>
      <c r="N1532" s="23"/>
      <c r="O1532" s="28"/>
    </row>
    <row r="1533" spans="2:15" s="22" customFormat="1" ht="45.75" customHeight="1">
      <c r="B1533" s="23"/>
      <c r="C1533" s="23"/>
      <c r="E1533" s="24"/>
      <c r="G1533" s="25"/>
      <c r="I1533" s="26"/>
      <c r="J1533" s="27"/>
      <c r="K1533" s="27"/>
      <c r="L1533" s="27"/>
      <c r="M1533" s="27"/>
      <c r="N1533" s="23"/>
      <c r="O1533" s="28"/>
    </row>
    <row r="1534" spans="2:15" s="22" customFormat="1" ht="45.75" customHeight="1">
      <c r="B1534" s="23"/>
      <c r="C1534" s="23"/>
      <c r="E1534" s="24"/>
      <c r="G1534" s="25"/>
      <c r="I1534" s="26"/>
      <c r="J1534" s="27"/>
      <c r="K1534" s="27"/>
      <c r="L1534" s="27"/>
      <c r="M1534" s="27"/>
      <c r="N1534" s="23"/>
      <c r="O1534" s="28"/>
    </row>
    <row r="1535" spans="2:15" s="22" customFormat="1" ht="45.75" customHeight="1">
      <c r="B1535" s="23"/>
      <c r="C1535" s="23"/>
      <c r="E1535" s="24"/>
      <c r="G1535" s="25"/>
      <c r="I1535" s="26"/>
      <c r="J1535" s="27"/>
      <c r="K1535" s="27"/>
      <c r="L1535" s="27"/>
      <c r="M1535" s="27"/>
      <c r="N1535" s="23"/>
      <c r="O1535" s="28"/>
    </row>
    <row r="1536" spans="2:15" s="22" customFormat="1" ht="45.75" customHeight="1">
      <c r="B1536" s="23"/>
      <c r="C1536" s="23"/>
      <c r="E1536" s="24"/>
      <c r="G1536" s="25"/>
      <c r="I1536" s="26"/>
      <c r="J1536" s="27"/>
      <c r="K1536" s="27"/>
      <c r="L1536" s="27"/>
      <c r="M1536" s="27"/>
      <c r="N1536" s="23"/>
      <c r="O1536" s="28"/>
    </row>
    <row r="1537" spans="2:15" s="22" customFormat="1" ht="45.75" customHeight="1">
      <c r="B1537" s="23"/>
      <c r="C1537" s="23"/>
      <c r="E1537" s="24"/>
      <c r="G1537" s="25"/>
      <c r="I1537" s="26"/>
      <c r="J1537" s="27"/>
      <c r="K1537" s="27"/>
      <c r="L1537" s="27"/>
      <c r="M1537" s="27"/>
      <c r="N1537" s="23"/>
      <c r="O1537" s="28"/>
    </row>
    <row r="1538" spans="2:15" s="22" customFormat="1" ht="45.75" customHeight="1">
      <c r="B1538" s="23"/>
      <c r="C1538" s="23"/>
      <c r="E1538" s="24"/>
      <c r="G1538" s="25"/>
      <c r="I1538" s="26"/>
      <c r="J1538" s="27"/>
      <c r="K1538" s="27"/>
      <c r="L1538" s="27"/>
      <c r="M1538" s="27"/>
      <c r="N1538" s="23"/>
      <c r="O1538" s="28"/>
    </row>
    <row r="1539" spans="2:15" s="22" customFormat="1" ht="45.75" customHeight="1">
      <c r="B1539" s="23"/>
      <c r="C1539" s="23"/>
      <c r="E1539" s="24"/>
      <c r="G1539" s="25"/>
      <c r="I1539" s="26"/>
      <c r="J1539" s="27"/>
      <c r="K1539" s="27"/>
      <c r="L1539" s="27"/>
      <c r="M1539" s="27"/>
      <c r="N1539" s="23"/>
      <c r="O1539" s="28"/>
    </row>
    <row r="1540" spans="2:15" s="22" customFormat="1" ht="45.75" customHeight="1">
      <c r="B1540" s="23"/>
      <c r="C1540" s="23"/>
      <c r="E1540" s="24"/>
      <c r="G1540" s="25"/>
      <c r="I1540" s="26"/>
      <c r="J1540" s="27"/>
      <c r="K1540" s="27"/>
      <c r="L1540" s="27"/>
      <c r="M1540" s="27"/>
      <c r="N1540" s="23"/>
      <c r="O1540" s="28"/>
    </row>
    <row r="1541" spans="2:15" s="22" customFormat="1" ht="45.75" customHeight="1">
      <c r="B1541" s="23"/>
      <c r="C1541" s="23"/>
      <c r="E1541" s="24"/>
      <c r="G1541" s="25"/>
      <c r="I1541" s="26"/>
      <c r="J1541" s="27"/>
      <c r="K1541" s="27"/>
      <c r="L1541" s="27"/>
      <c r="M1541" s="27"/>
      <c r="N1541" s="23"/>
      <c r="O1541" s="28"/>
    </row>
    <row r="1542" spans="2:15" s="22" customFormat="1" ht="45.75" customHeight="1">
      <c r="B1542" s="23"/>
      <c r="C1542" s="23"/>
      <c r="E1542" s="24"/>
      <c r="G1542" s="25"/>
      <c r="I1542" s="26"/>
      <c r="J1542" s="27"/>
      <c r="K1542" s="27"/>
      <c r="L1542" s="27"/>
      <c r="M1542" s="27"/>
      <c r="N1542" s="23"/>
      <c r="O1542" s="28"/>
    </row>
    <row r="1543" spans="2:15" s="22" customFormat="1" ht="45.75" customHeight="1">
      <c r="B1543" s="23"/>
      <c r="C1543" s="23"/>
      <c r="E1543" s="24"/>
      <c r="G1543" s="25"/>
      <c r="I1543" s="26"/>
      <c r="J1543" s="27"/>
      <c r="K1543" s="27"/>
      <c r="L1543" s="27"/>
      <c r="M1543" s="27"/>
      <c r="N1543" s="23"/>
      <c r="O1543" s="28"/>
    </row>
    <row r="1544" spans="2:15" s="22" customFormat="1" ht="45.75" customHeight="1">
      <c r="B1544" s="23"/>
      <c r="C1544" s="23"/>
      <c r="E1544" s="24"/>
      <c r="G1544" s="25"/>
      <c r="I1544" s="26"/>
      <c r="J1544" s="27"/>
      <c r="K1544" s="27"/>
      <c r="L1544" s="27"/>
      <c r="M1544" s="27"/>
      <c r="N1544" s="23"/>
      <c r="O1544" s="28"/>
    </row>
    <row r="1545" spans="2:15" s="22" customFormat="1" ht="45.75" customHeight="1">
      <c r="B1545" s="23"/>
      <c r="C1545" s="23"/>
      <c r="E1545" s="24"/>
      <c r="G1545" s="25"/>
      <c r="I1545" s="26"/>
      <c r="J1545" s="27"/>
      <c r="K1545" s="27"/>
      <c r="L1545" s="27"/>
      <c r="M1545" s="27"/>
      <c r="N1545" s="23"/>
      <c r="O1545" s="28"/>
    </row>
    <row r="1546" spans="2:15" s="22" customFormat="1" ht="45.75" customHeight="1">
      <c r="B1546" s="23"/>
      <c r="C1546" s="23"/>
      <c r="E1546" s="24"/>
      <c r="G1546" s="25"/>
      <c r="I1546" s="26"/>
      <c r="J1546" s="27"/>
      <c r="K1546" s="27"/>
      <c r="L1546" s="27"/>
      <c r="M1546" s="27"/>
      <c r="N1546" s="23"/>
      <c r="O1546" s="28"/>
    </row>
    <row r="1547" spans="2:15" s="22" customFormat="1" ht="45.75" customHeight="1">
      <c r="B1547" s="23"/>
      <c r="C1547" s="23"/>
      <c r="E1547" s="24"/>
      <c r="G1547" s="25"/>
      <c r="I1547" s="26"/>
      <c r="J1547" s="27"/>
      <c r="K1547" s="27"/>
      <c r="L1547" s="27"/>
      <c r="M1547" s="27"/>
      <c r="N1547" s="23"/>
      <c r="O1547" s="28"/>
    </row>
    <row r="1548" spans="2:15" s="22" customFormat="1" ht="45.75" customHeight="1">
      <c r="B1548" s="23"/>
      <c r="C1548" s="23"/>
      <c r="E1548" s="24"/>
      <c r="G1548" s="25"/>
      <c r="I1548" s="26"/>
      <c r="J1548" s="27"/>
      <c r="K1548" s="27"/>
      <c r="L1548" s="27"/>
      <c r="M1548" s="27"/>
      <c r="N1548" s="23"/>
      <c r="O1548" s="28"/>
    </row>
    <row r="1549" spans="2:15" s="22" customFormat="1" ht="45.75" customHeight="1">
      <c r="B1549" s="23"/>
      <c r="C1549" s="23"/>
      <c r="E1549" s="24"/>
      <c r="G1549" s="25"/>
      <c r="I1549" s="26"/>
      <c r="J1549" s="27"/>
      <c r="K1549" s="27"/>
      <c r="L1549" s="27"/>
      <c r="M1549" s="27"/>
      <c r="N1549" s="23"/>
      <c r="O1549" s="28"/>
    </row>
    <row r="1550" spans="2:15" s="22" customFormat="1" ht="45.75" customHeight="1">
      <c r="B1550" s="23"/>
      <c r="C1550" s="23"/>
      <c r="E1550" s="24"/>
      <c r="G1550" s="25"/>
      <c r="I1550" s="26"/>
      <c r="J1550" s="27"/>
      <c r="K1550" s="27"/>
      <c r="L1550" s="27"/>
      <c r="M1550" s="27"/>
      <c r="N1550" s="23"/>
      <c r="O1550" s="28"/>
    </row>
    <row r="1551" spans="2:15" s="22" customFormat="1" ht="45.75" customHeight="1">
      <c r="B1551" s="23"/>
      <c r="C1551" s="23"/>
      <c r="E1551" s="24"/>
      <c r="G1551" s="25"/>
      <c r="I1551" s="26"/>
      <c r="J1551" s="27"/>
      <c r="K1551" s="27"/>
      <c r="L1551" s="27"/>
      <c r="M1551" s="27"/>
      <c r="N1551" s="23"/>
      <c r="O1551" s="28"/>
    </row>
    <row r="1552" spans="2:15" s="22" customFormat="1" ht="45.75" customHeight="1">
      <c r="B1552" s="23"/>
      <c r="C1552" s="23"/>
      <c r="E1552" s="24"/>
      <c r="G1552" s="25"/>
      <c r="I1552" s="26"/>
      <c r="J1552" s="27"/>
      <c r="K1552" s="27"/>
      <c r="L1552" s="27"/>
      <c r="M1552" s="27"/>
      <c r="N1552" s="23"/>
      <c r="O1552" s="28"/>
    </row>
    <row r="1553" spans="2:15" s="22" customFormat="1" ht="45.75" customHeight="1">
      <c r="B1553" s="23"/>
      <c r="C1553" s="23"/>
      <c r="E1553" s="24"/>
      <c r="G1553" s="25"/>
      <c r="I1553" s="26"/>
      <c r="J1553" s="27"/>
      <c r="K1553" s="27"/>
      <c r="L1553" s="27"/>
      <c r="M1553" s="27"/>
      <c r="N1553" s="23"/>
      <c r="O1553" s="28"/>
    </row>
    <row r="1554" spans="2:15" s="22" customFormat="1" ht="45.75" customHeight="1">
      <c r="B1554" s="23"/>
      <c r="C1554" s="23"/>
      <c r="E1554" s="24"/>
      <c r="G1554" s="25"/>
      <c r="I1554" s="26"/>
      <c r="J1554" s="27"/>
      <c r="K1554" s="27"/>
      <c r="L1554" s="27"/>
      <c r="M1554" s="27"/>
      <c r="N1554" s="23"/>
      <c r="O1554" s="28"/>
    </row>
    <row r="1555" spans="2:15" s="22" customFormat="1" ht="45.75" customHeight="1">
      <c r="B1555" s="23"/>
      <c r="C1555" s="23"/>
      <c r="E1555" s="24"/>
      <c r="G1555" s="25"/>
      <c r="I1555" s="26"/>
      <c r="J1555" s="27"/>
      <c r="K1555" s="27"/>
      <c r="L1555" s="27"/>
      <c r="M1555" s="27"/>
      <c r="N1555" s="23"/>
      <c r="O1555" s="28"/>
    </row>
    <row r="1556" spans="2:15" s="22" customFormat="1" ht="45.75" customHeight="1">
      <c r="B1556" s="23"/>
      <c r="C1556" s="23"/>
      <c r="E1556" s="24"/>
      <c r="G1556" s="25"/>
      <c r="I1556" s="26"/>
      <c r="J1556" s="27"/>
      <c r="K1556" s="27"/>
      <c r="L1556" s="27"/>
      <c r="M1556" s="27"/>
      <c r="N1556" s="23"/>
      <c r="O1556" s="28"/>
    </row>
    <row r="1557" spans="2:15" s="22" customFormat="1" ht="45.75" customHeight="1">
      <c r="B1557" s="23"/>
      <c r="C1557" s="23"/>
      <c r="E1557" s="24"/>
      <c r="G1557" s="25"/>
      <c r="I1557" s="26"/>
      <c r="J1557" s="27"/>
      <c r="K1557" s="27"/>
      <c r="L1557" s="27"/>
      <c r="M1557" s="27"/>
      <c r="N1557" s="23"/>
      <c r="O1557" s="28"/>
    </row>
    <row r="1558" spans="2:15" s="22" customFormat="1" ht="45.75" customHeight="1">
      <c r="B1558" s="23"/>
      <c r="C1558" s="23"/>
      <c r="E1558" s="24"/>
      <c r="G1558" s="25"/>
      <c r="I1558" s="26"/>
      <c r="J1558" s="27"/>
      <c r="K1558" s="27"/>
      <c r="L1558" s="27"/>
      <c r="M1558" s="27"/>
      <c r="N1558" s="23"/>
      <c r="O1558" s="28"/>
    </row>
    <row r="1559" spans="2:15" s="22" customFormat="1" ht="45.75" customHeight="1">
      <c r="B1559" s="23"/>
      <c r="C1559" s="23"/>
      <c r="E1559" s="24"/>
      <c r="G1559" s="25"/>
      <c r="I1559" s="26"/>
      <c r="J1559" s="27"/>
      <c r="K1559" s="27"/>
      <c r="L1559" s="27"/>
      <c r="M1559" s="27"/>
      <c r="N1559" s="23"/>
      <c r="O1559" s="28"/>
    </row>
    <row r="1560" spans="2:15" s="22" customFormat="1" ht="45.75" customHeight="1">
      <c r="B1560" s="23"/>
      <c r="C1560" s="23"/>
      <c r="E1560" s="24"/>
      <c r="G1560" s="25"/>
      <c r="I1560" s="26"/>
      <c r="J1560" s="27"/>
      <c r="K1560" s="27"/>
      <c r="L1560" s="27"/>
      <c r="M1560" s="27"/>
      <c r="N1560" s="23"/>
      <c r="O1560" s="28"/>
    </row>
    <row r="1561" spans="2:15" s="22" customFormat="1" ht="45.75" customHeight="1">
      <c r="B1561" s="23"/>
      <c r="C1561" s="23"/>
      <c r="E1561" s="24"/>
      <c r="G1561" s="25"/>
      <c r="I1561" s="26"/>
      <c r="J1561" s="27"/>
      <c r="K1561" s="27"/>
      <c r="L1561" s="27"/>
      <c r="M1561" s="27"/>
      <c r="N1561" s="23"/>
      <c r="O1561" s="28"/>
    </row>
    <row r="1562" spans="2:15" s="22" customFormat="1" ht="45.75" customHeight="1">
      <c r="B1562" s="23"/>
      <c r="C1562" s="23"/>
      <c r="E1562" s="24"/>
      <c r="G1562" s="25"/>
      <c r="I1562" s="26"/>
      <c r="J1562" s="27"/>
      <c r="K1562" s="27"/>
      <c r="L1562" s="27"/>
      <c r="M1562" s="27"/>
      <c r="N1562" s="23"/>
      <c r="O1562" s="28"/>
    </row>
    <row r="1563" spans="2:15" s="22" customFormat="1" ht="45.75" customHeight="1">
      <c r="B1563" s="23"/>
      <c r="C1563" s="23"/>
      <c r="E1563" s="24"/>
      <c r="G1563" s="25"/>
      <c r="I1563" s="26"/>
      <c r="J1563" s="27"/>
      <c r="K1563" s="27"/>
      <c r="L1563" s="27"/>
      <c r="M1563" s="27"/>
      <c r="N1563" s="23"/>
      <c r="O1563" s="28"/>
    </row>
    <row r="1564" spans="2:15" s="22" customFormat="1" ht="45.75" customHeight="1">
      <c r="B1564" s="23"/>
      <c r="C1564" s="23"/>
      <c r="E1564" s="24"/>
      <c r="G1564" s="25"/>
      <c r="I1564" s="26"/>
      <c r="J1564" s="27"/>
      <c r="K1564" s="27"/>
      <c r="L1564" s="27"/>
      <c r="M1564" s="27"/>
      <c r="N1564" s="23"/>
      <c r="O1564" s="28"/>
    </row>
    <row r="1565" spans="2:15" s="22" customFormat="1" ht="45.75" customHeight="1">
      <c r="B1565" s="23"/>
      <c r="C1565" s="23"/>
      <c r="E1565" s="24"/>
      <c r="G1565" s="25"/>
      <c r="I1565" s="26"/>
      <c r="J1565" s="27"/>
      <c r="K1565" s="27"/>
      <c r="L1565" s="27"/>
      <c r="M1565" s="27"/>
      <c r="N1565" s="23"/>
      <c r="O1565" s="28"/>
    </row>
    <row r="1566" spans="2:15" s="22" customFormat="1" ht="45.75" customHeight="1">
      <c r="B1566" s="23"/>
      <c r="C1566" s="23"/>
      <c r="E1566" s="24"/>
      <c r="G1566" s="25"/>
      <c r="I1566" s="26"/>
      <c r="J1566" s="27"/>
      <c r="K1566" s="27"/>
      <c r="L1566" s="27"/>
      <c r="M1566" s="27"/>
      <c r="N1566" s="23"/>
      <c r="O1566" s="28"/>
    </row>
    <row r="1567" spans="2:15" s="22" customFormat="1" ht="45.75" customHeight="1">
      <c r="B1567" s="23"/>
      <c r="C1567" s="23"/>
      <c r="E1567" s="24"/>
      <c r="G1567" s="25"/>
      <c r="I1567" s="26"/>
      <c r="J1567" s="27"/>
      <c r="K1567" s="27"/>
      <c r="L1567" s="27"/>
      <c r="M1567" s="27"/>
      <c r="N1567" s="23"/>
      <c r="O1567" s="28"/>
    </row>
    <row r="1568" spans="2:15" s="22" customFormat="1" ht="45.75" customHeight="1">
      <c r="B1568" s="23"/>
      <c r="C1568" s="23"/>
      <c r="E1568" s="24"/>
      <c r="G1568" s="25"/>
      <c r="I1568" s="26"/>
      <c r="J1568" s="27"/>
      <c r="K1568" s="27"/>
      <c r="L1568" s="27"/>
      <c r="M1568" s="27"/>
      <c r="N1568" s="23"/>
      <c r="O1568" s="28"/>
    </row>
    <row r="1569" spans="2:15" s="22" customFormat="1" ht="45.75" customHeight="1">
      <c r="B1569" s="23"/>
      <c r="C1569" s="23"/>
      <c r="E1569" s="24"/>
      <c r="G1569" s="25"/>
      <c r="I1569" s="26"/>
      <c r="J1569" s="27"/>
      <c r="K1569" s="27"/>
      <c r="L1569" s="27"/>
      <c r="M1569" s="27"/>
      <c r="N1569" s="23"/>
      <c r="O1569" s="28"/>
    </row>
    <row r="1570" spans="2:15" s="22" customFormat="1" ht="45.75" customHeight="1">
      <c r="B1570" s="23"/>
      <c r="C1570" s="23"/>
      <c r="E1570" s="24"/>
      <c r="G1570" s="25"/>
      <c r="I1570" s="26"/>
      <c r="J1570" s="27"/>
      <c r="K1570" s="27"/>
      <c r="L1570" s="27"/>
      <c r="M1570" s="27"/>
      <c r="N1570" s="23"/>
      <c r="O1570" s="28"/>
    </row>
    <row r="1571" spans="2:15" s="22" customFormat="1" ht="45.75" customHeight="1">
      <c r="B1571" s="23"/>
      <c r="C1571" s="23"/>
      <c r="E1571" s="24"/>
      <c r="G1571" s="25"/>
      <c r="I1571" s="26"/>
      <c r="J1571" s="27"/>
      <c r="K1571" s="27"/>
      <c r="L1571" s="27"/>
      <c r="M1571" s="27"/>
      <c r="N1571" s="23"/>
      <c r="O1571" s="28"/>
    </row>
    <row r="1572" spans="2:15" s="22" customFormat="1" ht="45.75" customHeight="1">
      <c r="B1572" s="23"/>
      <c r="C1572" s="23"/>
      <c r="E1572" s="24"/>
      <c r="G1572" s="25"/>
      <c r="I1572" s="26"/>
      <c r="J1572" s="27"/>
      <c r="K1572" s="27"/>
      <c r="L1572" s="27"/>
      <c r="M1572" s="27"/>
      <c r="N1572" s="23"/>
      <c r="O1572" s="28"/>
    </row>
    <row r="1573" spans="2:15" s="22" customFormat="1" ht="45.75" customHeight="1">
      <c r="B1573" s="23"/>
      <c r="C1573" s="23"/>
      <c r="E1573" s="24"/>
      <c r="G1573" s="25"/>
      <c r="I1573" s="26"/>
      <c r="J1573" s="27"/>
      <c r="K1573" s="27"/>
      <c r="L1573" s="27"/>
      <c r="M1573" s="27"/>
      <c r="N1573" s="23"/>
      <c r="O1573" s="28"/>
    </row>
    <row r="1574" spans="2:15" s="22" customFormat="1" ht="45.75" customHeight="1">
      <c r="B1574" s="23"/>
      <c r="C1574" s="23"/>
      <c r="E1574" s="24"/>
      <c r="G1574" s="25"/>
      <c r="I1574" s="26"/>
      <c r="J1574" s="27"/>
      <c r="K1574" s="27"/>
      <c r="L1574" s="27"/>
      <c r="M1574" s="27"/>
      <c r="N1574" s="23"/>
      <c r="O1574" s="28"/>
    </row>
    <row r="1575" spans="2:15" s="22" customFormat="1" ht="45.75" customHeight="1">
      <c r="B1575" s="23"/>
      <c r="C1575" s="23"/>
      <c r="E1575" s="24"/>
      <c r="G1575" s="25"/>
      <c r="I1575" s="26"/>
      <c r="J1575" s="27"/>
      <c r="K1575" s="27"/>
      <c r="L1575" s="27"/>
      <c r="M1575" s="27"/>
      <c r="N1575" s="23"/>
      <c r="O1575" s="28"/>
    </row>
    <row r="1576" spans="2:15" s="22" customFormat="1" ht="45.75" customHeight="1">
      <c r="B1576" s="23"/>
      <c r="C1576" s="23"/>
      <c r="E1576" s="24"/>
      <c r="G1576" s="25"/>
      <c r="I1576" s="26"/>
      <c r="J1576" s="27"/>
      <c r="K1576" s="27"/>
      <c r="L1576" s="27"/>
      <c r="M1576" s="27"/>
      <c r="N1576" s="23"/>
      <c r="O1576" s="28"/>
    </row>
    <row r="1577" spans="2:15" s="22" customFormat="1" ht="45.75" customHeight="1">
      <c r="B1577" s="23"/>
      <c r="C1577" s="23"/>
      <c r="E1577" s="24"/>
      <c r="G1577" s="25"/>
      <c r="I1577" s="26"/>
      <c r="J1577" s="27"/>
      <c r="K1577" s="27"/>
      <c r="L1577" s="27"/>
      <c r="M1577" s="27"/>
      <c r="N1577" s="23"/>
      <c r="O1577" s="28"/>
    </row>
    <row r="1578" spans="2:15" s="22" customFormat="1" ht="45.75" customHeight="1">
      <c r="B1578" s="23"/>
      <c r="C1578" s="23"/>
      <c r="E1578" s="24"/>
      <c r="G1578" s="25"/>
      <c r="I1578" s="26"/>
      <c r="J1578" s="27"/>
      <c r="K1578" s="27"/>
      <c r="L1578" s="27"/>
      <c r="M1578" s="27"/>
      <c r="N1578" s="23"/>
      <c r="O1578" s="28"/>
    </row>
    <row r="1579" spans="2:15" s="22" customFormat="1" ht="45.75" customHeight="1">
      <c r="B1579" s="23"/>
      <c r="C1579" s="23"/>
      <c r="E1579" s="24"/>
      <c r="G1579" s="25"/>
      <c r="I1579" s="26"/>
      <c r="J1579" s="27"/>
      <c r="K1579" s="27"/>
      <c r="L1579" s="27"/>
      <c r="M1579" s="27"/>
      <c r="N1579" s="23"/>
      <c r="O1579" s="28"/>
    </row>
    <row r="1580" spans="2:15" s="22" customFormat="1" ht="45.75" customHeight="1">
      <c r="B1580" s="23"/>
      <c r="C1580" s="23"/>
      <c r="E1580" s="24"/>
      <c r="G1580" s="25"/>
      <c r="I1580" s="26"/>
      <c r="J1580" s="27"/>
      <c r="K1580" s="27"/>
      <c r="L1580" s="27"/>
      <c r="M1580" s="27"/>
      <c r="N1580" s="23"/>
      <c r="O1580" s="28"/>
    </row>
    <row r="1581" spans="2:15" s="22" customFormat="1" ht="45.75" customHeight="1">
      <c r="B1581" s="23"/>
      <c r="C1581" s="23"/>
      <c r="E1581" s="24"/>
      <c r="G1581" s="25"/>
      <c r="I1581" s="26"/>
      <c r="J1581" s="27"/>
      <c r="K1581" s="27"/>
      <c r="L1581" s="27"/>
      <c r="M1581" s="27"/>
      <c r="N1581" s="23"/>
      <c r="O1581" s="28"/>
    </row>
    <row r="1582" spans="2:15" s="22" customFormat="1" ht="45.75" customHeight="1">
      <c r="B1582" s="23"/>
      <c r="C1582" s="23"/>
      <c r="E1582" s="24"/>
      <c r="G1582" s="25"/>
      <c r="I1582" s="26"/>
      <c r="J1582" s="27"/>
      <c r="K1582" s="27"/>
      <c r="L1582" s="27"/>
      <c r="M1582" s="27"/>
      <c r="N1582" s="23"/>
      <c r="O1582" s="28"/>
    </row>
    <row r="1583" spans="2:15" s="22" customFormat="1" ht="45.75" customHeight="1">
      <c r="B1583" s="23"/>
      <c r="C1583" s="23"/>
      <c r="E1583" s="24"/>
      <c r="G1583" s="25"/>
      <c r="I1583" s="26"/>
      <c r="J1583" s="27"/>
      <c r="K1583" s="27"/>
      <c r="L1583" s="27"/>
      <c r="M1583" s="27"/>
      <c r="N1583" s="23"/>
      <c r="O1583" s="28"/>
    </row>
    <row r="1584" spans="2:15" s="22" customFormat="1" ht="45.75" customHeight="1">
      <c r="B1584" s="23"/>
      <c r="C1584" s="23"/>
      <c r="E1584" s="24"/>
      <c r="G1584" s="25"/>
      <c r="I1584" s="26"/>
      <c r="J1584" s="27"/>
      <c r="K1584" s="27"/>
      <c r="L1584" s="27"/>
      <c r="M1584" s="27"/>
      <c r="N1584" s="23"/>
      <c r="O1584" s="28"/>
    </row>
    <row r="1585" spans="2:15" s="22" customFormat="1" ht="45.75" customHeight="1">
      <c r="B1585" s="23"/>
      <c r="C1585" s="23"/>
      <c r="E1585" s="24"/>
      <c r="G1585" s="25"/>
      <c r="I1585" s="26"/>
      <c r="J1585" s="27"/>
      <c r="K1585" s="27"/>
      <c r="L1585" s="27"/>
      <c r="M1585" s="27"/>
      <c r="N1585" s="23"/>
      <c r="O1585" s="28"/>
    </row>
    <row r="1586" spans="2:15" s="22" customFormat="1" ht="45.75" customHeight="1">
      <c r="B1586" s="23"/>
      <c r="C1586" s="23"/>
      <c r="E1586" s="24"/>
      <c r="G1586" s="25"/>
      <c r="I1586" s="26"/>
      <c r="J1586" s="27"/>
      <c r="K1586" s="27"/>
      <c r="L1586" s="27"/>
      <c r="M1586" s="27"/>
      <c r="N1586" s="23"/>
      <c r="O1586" s="28"/>
    </row>
    <row r="1587" spans="2:15" s="22" customFormat="1" ht="45.75" customHeight="1">
      <c r="B1587" s="23"/>
      <c r="C1587" s="23"/>
      <c r="E1587" s="24"/>
      <c r="G1587" s="25"/>
      <c r="I1587" s="26"/>
      <c r="J1587" s="27"/>
      <c r="K1587" s="27"/>
      <c r="L1587" s="27"/>
      <c r="M1587" s="27"/>
      <c r="N1587" s="23"/>
      <c r="O1587" s="28"/>
    </row>
    <row r="1588" spans="2:15" s="22" customFormat="1" ht="45.75" customHeight="1">
      <c r="B1588" s="23"/>
      <c r="C1588" s="23"/>
      <c r="E1588" s="24"/>
      <c r="G1588" s="25"/>
      <c r="I1588" s="26"/>
      <c r="J1588" s="27"/>
      <c r="K1588" s="27"/>
      <c r="L1588" s="27"/>
      <c r="M1588" s="27"/>
      <c r="N1588" s="23"/>
      <c r="O1588" s="28"/>
    </row>
    <row r="1589" spans="2:15" s="22" customFormat="1" ht="45.75" customHeight="1">
      <c r="B1589" s="23"/>
      <c r="C1589" s="23"/>
      <c r="E1589" s="24"/>
      <c r="G1589" s="25"/>
      <c r="I1589" s="26"/>
      <c r="J1589" s="27"/>
      <c r="K1589" s="27"/>
      <c r="L1589" s="27"/>
      <c r="M1589" s="27"/>
      <c r="N1589" s="23"/>
      <c r="O1589" s="28"/>
    </row>
    <row r="1590" spans="2:15" s="22" customFormat="1" ht="45.75" customHeight="1">
      <c r="B1590" s="23"/>
      <c r="C1590" s="23"/>
      <c r="E1590" s="24"/>
      <c r="G1590" s="25"/>
      <c r="I1590" s="26"/>
      <c r="J1590" s="27"/>
      <c r="K1590" s="27"/>
      <c r="L1590" s="27"/>
      <c r="M1590" s="27"/>
      <c r="N1590" s="23"/>
      <c r="O1590" s="28"/>
    </row>
    <row r="1591" spans="2:15" s="22" customFormat="1" ht="45.75" customHeight="1">
      <c r="B1591" s="23"/>
      <c r="C1591" s="23"/>
      <c r="E1591" s="24"/>
      <c r="G1591" s="25"/>
      <c r="I1591" s="26"/>
      <c r="J1591" s="27"/>
      <c r="K1591" s="27"/>
      <c r="L1591" s="27"/>
      <c r="M1591" s="27"/>
      <c r="N1591" s="23"/>
      <c r="O1591" s="28"/>
    </row>
    <row r="1592" spans="2:15" s="22" customFormat="1" ht="45.75" customHeight="1">
      <c r="B1592" s="23"/>
      <c r="C1592" s="23"/>
      <c r="E1592" s="24"/>
      <c r="G1592" s="25"/>
      <c r="I1592" s="26"/>
      <c r="J1592" s="27"/>
      <c r="K1592" s="27"/>
      <c r="L1592" s="27"/>
      <c r="M1592" s="27"/>
      <c r="N1592" s="23"/>
      <c r="O1592" s="28"/>
    </row>
    <row r="1593" spans="2:15" s="22" customFormat="1" ht="45.75" customHeight="1">
      <c r="B1593" s="23"/>
      <c r="C1593" s="23"/>
      <c r="E1593" s="24"/>
      <c r="G1593" s="25"/>
      <c r="I1593" s="26"/>
      <c r="J1593" s="27"/>
      <c r="K1593" s="27"/>
      <c r="L1593" s="27"/>
      <c r="M1593" s="27"/>
      <c r="N1593" s="23"/>
      <c r="O1593" s="28"/>
    </row>
    <row r="1594" spans="2:15" s="22" customFormat="1" ht="45.75" customHeight="1">
      <c r="B1594" s="23"/>
      <c r="C1594" s="23"/>
      <c r="E1594" s="24"/>
      <c r="G1594" s="25"/>
      <c r="I1594" s="26"/>
      <c r="J1594" s="27"/>
      <c r="K1594" s="27"/>
      <c r="L1594" s="27"/>
      <c r="M1594" s="27"/>
      <c r="N1594" s="23"/>
      <c r="O1594" s="28"/>
    </row>
    <row r="1595" spans="2:15" s="22" customFormat="1" ht="45.75" customHeight="1">
      <c r="B1595" s="23"/>
      <c r="C1595" s="23"/>
      <c r="E1595" s="24"/>
      <c r="G1595" s="25"/>
      <c r="I1595" s="26"/>
      <c r="J1595" s="27"/>
      <c r="K1595" s="27"/>
      <c r="L1595" s="27"/>
      <c r="M1595" s="27"/>
      <c r="N1595" s="23"/>
      <c r="O1595" s="28"/>
    </row>
    <row r="1596" spans="2:15" s="22" customFormat="1" ht="45.75" customHeight="1">
      <c r="B1596" s="23"/>
      <c r="C1596" s="23"/>
      <c r="E1596" s="24"/>
      <c r="G1596" s="25"/>
      <c r="I1596" s="26"/>
      <c r="J1596" s="27"/>
      <c r="K1596" s="27"/>
      <c r="L1596" s="27"/>
      <c r="M1596" s="27"/>
      <c r="N1596" s="23"/>
      <c r="O1596" s="28"/>
    </row>
    <row r="1597" spans="2:15" s="22" customFormat="1" ht="45.75" customHeight="1">
      <c r="B1597" s="23"/>
      <c r="C1597" s="23"/>
      <c r="E1597" s="24"/>
      <c r="G1597" s="25"/>
      <c r="I1597" s="26"/>
      <c r="J1597" s="27"/>
      <c r="K1597" s="27"/>
      <c r="L1597" s="27"/>
      <c r="M1597" s="27"/>
      <c r="N1597" s="23"/>
      <c r="O1597" s="28"/>
    </row>
    <row r="1598" spans="2:15" s="22" customFormat="1" ht="45.75" customHeight="1">
      <c r="B1598" s="23"/>
      <c r="C1598" s="23"/>
      <c r="E1598" s="24"/>
      <c r="G1598" s="25"/>
      <c r="I1598" s="26"/>
      <c r="J1598" s="27"/>
      <c r="K1598" s="27"/>
      <c r="L1598" s="27"/>
      <c r="M1598" s="27"/>
      <c r="N1598" s="23"/>
      <c r="O1598" s="28"/>
    </row>
    <row r="1599" spans="2:15" s="22" customFormat="1" ht="45.75" customHeight="1">
      <c r="B1599" s="23"/>
      <c r="C1599" s="23"/>
      <c r="E1599" s="24"/>
      <c r="G1599" s="25"/>
      <c r="I1599" s="26"/>
      <c r="J1599" s="27"/>
      <c r="K1599" s="27"/>
      <c r="L1599" s="27"/>
      <c r="M1599" s="27"/>
      <c r="N1599" s="23"/>
      <c r="O1599" s="28"/>
    </row>
    <row r="1600" spans="2:15" s="22" customFormat="1" ht="45.75" customHeight="1">
      <c r="B1600" s="23"/>
      <c r="C1600" s="23"/>
      <c r="E1600" s="24"/>
      <c r="G1600" s="25"/>
      <c r="I1600" s="26"/>
      <c r="J1600" s="27"/>
      <c r="K1600" s="27"/>
      <c r="L1600" s="27"/>
      <c r="M1600" s="27"/>
      <c r="N1600" s="23"/>
      <c r="O1600" s="28"/>
    </row>
    <row r="1601" spans="2:15" s="22" customFormat="1" ht="45.75" customHeight="1">
      <c r="B1601" s="23"/>
      <c r="C1601" s="23"/>
      <c r="E1601" s="24"/>
      <c r="G1601" s="25"/>
      <c r="I1601" s="26"/>
      <c r="J1601" s="27"/>
      <c r="K1601" s="27"/>
      <c r="L1601" s="27"/>
      <c r="M1601" s="27"/>
      <c r="N1601" s="23"/>
      <c r="O1601" s="28"/>
    </row>
    <row r="1602" spans="2:15" s="22" customFormat="1" ht="45.75" customHeight="1">
      <c r="B1602" s="23"/>
      <c r="C1602" s="23"/>
      <c r="E1602" s="24"/>
      <c r="G1602" s="25"/>
      <c r="I1602" s="26"/>
      <c r="J1602" s="27"/>
      <c r="K1602" s="27"/>
      <c r="L1602" s="27"/>
      <c r="M1602" s="27"/>
      <c r="N1602" s="23"/>
      <c r="O1602" s="28"/>
    </row>
    <row r="1603" spans="2:15" s="22" customFormat="1" ht="45.75" customHeight="1">
      <c r="B1603" s="23"/>
      <c r="C1603" s="23"/>
      <c r="E1603" s="24"/>
      <c r="G1603" s="25"/>
      <c r="I1603" s="26"/>
      <c r="J1603" s="27"/>
      <c r="K1603" s="27"/>
      <c r="L1603" s="27"/>
      <c r="M1603" s="27"/>
      <c r="N1603" s="23"/>
      <c r="O1603" s="28"/>
    </row>
    <row r="1604" spans="2:15" s="22" customFormat="1" ht="45.75" customHeight="1">
      <c r="B1604" s="23"/>
      <c r="C1604" s="23"/>
      <c r="E1604" s="24"/>
      <c r="G1604" s="25"/>
      <c r="I1604" s="26"/>
      <c r="J1604" s="27"/>
      <c r="K1604" s="27"/>
      <c r="L1604" s="27"/>
      <c r="M1604" s="27"/>
      <c r="N1604" s="23"/>
      <c r="O1604" s="28"/>
    </row>
    <row r="1605" spans="2:15" s="22" customFormat="1" ht="45.75" customHeight="1">
      <c r="B1605" s="23"/>
      <c r="C1605" s="23"/>
      <c r="E1605" s="24"/>
      <c r="G1605" s="25"/>
      <c r="I1605" s="26"/>
      <c r="J1605" s="27"/>
      <c r="K1605" s="27"/>
      <c r="L1605" s="27"/>
      <c r="M1605" s="27"/>
      <c r="N1605" s="23"/>
      <c r="O1605" s="28"/>
    </row>
    <row r="1606" spans="2:15" s="22" customFormat="1" ht="45.75" customHeight="1">
      <c r="B1606" s="23"/>
      <c r="C1606" s="23"/>
      <c r="E1606" s="24"/>
      <c r="G1606" s="25"/>
      <c r="I1606" s="26"/>
      <c r="J1606" s="27"/>
      <c r="K1606" s="27"/>
      <c r="L1606" s="27"/>
      <c r="M1606" s="27"/>
      <c r="N1606" s="23"/>
      <c r="O1606" s="28"/>
    </row>
    <row r="1607" spans="2:15" s="22" customFormat="1" ht="45.75" customHeight="1">
      <c r="B1607" s="23"/>
      <c r="C1607" s="23"/>
      <c r="E1607" s="24"/>
      <c r="G1607" s="25"/>
      <c r="I1607" s="26"/>
      <c r="J1607" s="27"/>
      <c r="K1607" s="27"/>
      <c r="L1607" s="27"/>
      <c r="M1607" s="27"/>
      <c r="N1607" s="23"/>
      <c r="O1607" s="28"/>
    </row>
    <row r="1608" spans="2:15" s="22" customFormat="1" ht="45.75" customHeight="1">
      <c r="B1608" s="23"/>
      <c r="C1608" s="23"/>
      <c r="E1608" s="24"/>
      <c r="G1608" s="25"/>
      <c r="I1608" s="26"/>
      <c r="J1608" s="27"/>
      <c r="K1608" s="27"/>
      <c r="L1608" s="27"/>
      <c r="M1608" s="27"/>
      <c r="N1608" s="23"/>
      <c r="O1608" s="28"/>
    </row>
    <row r="1609" spans="2:15" s="22" customFormat="1" ht="45.75" customHeight="1">
      <c r="B1609" s="23"/>
      <c r="C1609" s="23"/>
      <c r="E1609" s="24"/>
      <c r="G1609" s="25"/>
      <c r="I1609" s="26"/>
      <c r="J1609" s="27"/>
      <c r="K1609" s="27"/>
      <c r="L1609" s="27"/>
      <c r="M1609" s="27"/>
      <c r="N1609" s="23"/>
      <c r="O1609" s="28"/>
    </row>
    <row r="1610" spans="2:15" s="22" customFormat="1" ht="45.75" customHeight="1">
      <c r="B1610" s="23"/>
      <c r="C1610" s="23"/>
      <c r="E1610" s="24"/>
      <c r="G1610" s="25"/>
      <c r="I1610" s="26"/>
      <c r="J1610" s="27"/>
      <c r="K1610" s="27"/>
      <c r="L1610" s="27"/>
      <c r="M1610" s="27"/>
      <c r="N1610" s="23"/>
      <c r="O1610" s="28"/>
    </row>
    <row r="1611" spans="2:15" s="22" customFormat="1" ht="45.75" customHeight="1">
      <c r="B1611" s="23"/>
      <c r="C1611" s="23"/>
      <c r="E1611" s="24"/>
      <c r="G1611" s="25"/>
      <c r="I1611" s="26"/>
      <c r="J1611" s="27"/>
      <c r="K1611" s="27"/>
      <c r="L1611" s="27"/>
      <c r="M1611" s="27"/>
      <c r="N1611" s="23"/>
      <c r="O1611" s="28"/>
    </row>
    <row r="1612" spans="2:15" s="22" customFormat="1" ht="45.75" customHeight="1">
      <c r="B1612" s="23"/>
      <c r="C1612" s="23"/>
      <c r="E1612" s="24"/>
      <c r="G1612" s="25"/>
      <c r="I1612" s="26"/>
      <c r="J1612" s="27"/>
      <c r="K1612" s="27"/>
      <c r="L1612" s="27"/>
      <c r="M1612" s="27"/>
      <c r="N1612" s="23"/>
      <c r="O1612" s="28"/>
    </row>
    <row r="1613" spans="2:15" s="22" customFormat="1" ht="45.75" customHeight="1">
      <c r="B1613" s="23"/>
      <c r="C1613" s="23"/>
      <c r="E1613" s="24"/>
      <c r="G1613" s="25"/>
      <c r="I1613" s="26"/>
      <c r="J1613" s="27"/>
      <c r="K1613" s="27"/>
      <c r="L1613" s="27"/>
      <c r="M1613" s="27"/>
      <c r="N1613" s="23"/>
      <c r="O1613" s="28"/>
    </row>
    <row r="1614" spans="2:15" s="22" customFormat="1" ht="45.75" customHeight="1">
      <c r="B1614" s="23"/>
      <c r="C1614" s="23"/>
      <c r="E1614" s="24"/>
      <c r="G1614" s="25"/>
      <c r="I1614" s="26"/>
      <c r="J1614" s="27"/>
      <c r="K1614" s="27"/>
      <c r="L1614" s="27"/>
      <c r="M1614" s="27"/>
      <c r="N1614" s="23"/>
      <c r="O1614" s="28"/>
    </row>
    <row r="1615" spans="2:15" s="22" customFormat="1" ht="45.75" customHeight="1">
      <c r="B1615" s="23"/>
      <c r="C1615" s="23"/>
      <c r="E1615" s="24"/>
      <c r="G1615" s="25"/>
      <c r="I1615" s="26"/>
      <c r="J1615" s="27"/>
      <c r="K1615" s="27"/>
      <c r="L1615" s="27"/>
      <c r="M1615" s="27"/>
      <c r="N1615" s="23"/>
      <c r="O1615" s="28"/>
    </row>
    <row r="1616" spans="2:15" s="22" customFormat="1" ht="45.75" customHeight="1">
      <c r="B1616" s="23"/>
      <c r="C1616" s="23"/>
      <c r="E1616" s="24"/>
      <c r="G1616" s="25"/>
      <c r="I1616" s="26"/>
      <c r="J1616" s="27"/>
      <c r="K1616" s="27"/>
      <c r="L1616" s="27"/>
      <c r="M1616" s="27"/>
      <c r="N1616" s="23"/>
      <c r="O1616" s="28"/>
    </row>
    <row r="1617" spans="2:15" s="22" customFormat="1" ht="45.75" customHeight="1">
      <c r="B1617" s="23"/>
      <c r="C1617" s="23"/>
      <c r="E1617" s="24"/>
      <c r="G1617" s="25"/>
      <c r="I1617" s="26"/>
      <c r="J1617" s="27"/>
      <c r="K1617" s="27"/>
      <c r="L1617" s="27"/>
      <c r="M1617" s="27"/>
      <c r="N1617" s="23"/>
      <c r="O1617" s="28"/>
    </row>
    <row r="1618" spans="2:15" s="22" customFormat="1" ht="45.75" customHeight="1">
      <c r="B1618" s="23"/>
      <c r="C1618" s="23"/>
      <c r="E1618" s="24"/>
      <c r="G1618" s="25"/>
      <c r="I1618" s="26"/>
      <c r="J1618" s="27"/>
      <c r="K1618" s="27"/>
      <c r="L1618" s="27"/>
      <c r="M1618" s="27"/>
      <c r="N1618" s="23"/>
      <c r="O1618" s="28"/>
    </row>
    <row r="1619" spans="2:15" s="22" customFormat="1" ht="45.75" customHeight="1">
      <c r="B1619" s="23"/>
      <c r="C1619" s="23"/>
      <c r="E1619" s="24"/>
      <c r="G1619" s="25"/>
      <c r="I1619" s="26"/>
      <c r="J1619" s="27"/>
      <c r="K1619" s="27"/>
      <c r="L1619" s="27"/>
      <c r="M1619" s="27"/>
      <c r="N1619" s="23"/>
      <c r="O1619" s="28"/>
    </row>
    <row r="1620" spans="2:15" s="22" customFormat="1" ht="45.75" customHeight="1">
      <c r="B1620" s="23"/>
      <c r="C1620" s="23"/>
      <c r="E1620" s="24"/>
      <c r="G1620" s="25"/>
      <c r="I1620" s="26"/>
      <c r="J1620" s="27"/>
      <c r="K1620" s="27"/>
      <c r="L1620" s="27"/>
      <c r="M1620" s="27"/>
      <c r="N1620" s="23"/>
      <c r="O1620" s="28"/>
    </row>
    <row r="1621" spans="2:15" s="22" customFormat="1" ht="45.75" customHeight="1">
      <c r="B1621" s="23"/>
      <c r="C1621" s="23"/>
      <c r="E1621" s="24"/>
      <c r="G1621" s="25"/>
      <c r="I1621" s="26"/>
      <c r="J1621" s="27"/>
      <c r="K1621" s="27"/>
      <c r="L1621" s="27"/>
      <c r="M1621" s="27"/>
      <c r="N1621" s="23"/>
      <c r="O1621" s="28"/>
    </row>
    <row r="1622" spans="2:15" s="22" customFormat="1" ht="45.75" customHeight="1">
      <c r="B1622" s="23"/>
      <c r="C1622" s="23"/>
      <c r="E1622" s="24"/>
      <c r="G1622" s="25"/>
      <c r="I1622" s="26"/>
      <c r="J1622" s="27"/>
      <c r="K1622" s="27"/>
      <c r="L1622" s="27"/>
      <c r="M1622" s="27"/>
      <c r="N1622" s="23"/>
      <c r="O1622" s="28"/>
    </row>
    <row r="1623" spans="2:15" s="22" customFormat="1" ht="45.75" customHeight="1">
      <c r="B1623" s="23"/>
      <c r="C1623" s="23"/>
      <c r="E1623" s="24"/>
      <c r="G1623" s="25"/>
      <c r="I1623" s="26"/>
      <c r="J1623" s="27"/>
      <c r="K1623" s="27"/>
      <c r="L1623" s="27"/>
      <c r="M1623" s="27"/>
      <c r="N1623" s="23"/>
      <c r="O1623" s="28"/>
    </row>
    <row r="1624" spans="2:15" s="22" customFormat="1" ht="45.75" customHeight="1">
      <c r="B1624" s="23"/>
      <c r="C1624" s="23"/>
      <c r="E1624" s="24"/>
      <c r="G1624" s="25"/>
      <c r="I1624" s="26"/>
      <c r="J1624" s="27"/>
      <c r="K1624" s="27"/>
      <c r="L1624" s="27"/>
      <c r="M1624" s="27"/>
      <c r="N1624" s="23"/>
      <c r="O1624" s="28"/>
    </row>
    <row r="1625" spans="2:15" s="22" customFormat="1" ht="45.75" customHeight="1">
      <c r="B1625" s="23"/>
      <c r="C1625" s="23"/>
      <c r="E1625" s="24"/>
      <c r="G1625" s="25"/>
      <c r="I1625" s="26"/>
      <c r="J1625" s="27"/>
      <c r="K1625" s="27"/>
      <c r="L1625" s="27"/>
      <c r="M1625" s="27"/>
      <c r="N1625" s="23"/>
      <c r="O1625" s="28"/>
    </row>
    <row r="1626" spans="2:15" s="22" customFormat="1" ht="45.75" customHeight="1">
      <c r="B1626" s="23"/>
      <c r="C1626" s="23"/>
      <c r="E1626" s="24"/>
      <c r="G1626" s="25"/>
      <c r="I1626" s="26"/>
      <c r="J1626" s="27"/>
      <c r="K1626" s="27"/>
      <c r="L1626" s="27"/>
      <c r="M1626" s="27"/>
      <c r="N1626" s="23"/>
      <c r="O1626" s="28"/>
    </row>
    <row r="1627" spans="2:15" s="22" customFormat="1" ht="45.75" customHeight="1">
      <c r="B1627" s="23"/>
      <c r="C1627" s="23"/>
      <c r="E1627" s="24"/>
      <c r="G1627" s="25"/>
      <c r="I1627" s="26"/>
      <c r="J1627" s="27"/>
      <c r="K1627" s="27"/>
      <c r="L1627" s="27"/>
      <c r="M1627" s="27"/>
      <c r="N1627" s="23"/>
      <c r="O1627" s="28"/>
    </row>
    <row r="1628" spans="2:15" s="22" customFormat="1" ht="45.75" customHeight="1">
      <c r="B1628" s="23"/>
      <c r="C1628" s="23"/>
      <c r="E1628" s="24"/>
      <c r="G1628" s="25"/>
      <c r="I1628" s="26"/>
      <c r="J1628" s="27"/>
      <c r="K1628" s="27"/>
      <c r="L1628" s="27"/>
      <c r="M1628" s="27"/>
      <c r="N1628" s="23"/>
      <c r="O1628" s="28"/>
    </row>
    <row r="1629" spans="2:15" s="22" customFormat="1" ht="45.75" customHeight="1">
      <c r="B1629" s="23"/>
      <c r="C1629" s="23"/>
      <c r="E1629" s="24"/>
      <c r="G1629" s="25"/>
      <c r="I1629" s="26"/>
      <c r="J1629" s="27"/>
      <c r="K1629" s="27"/>
      <c r="L1629" s="27"/>
      <c r="M1629" s="27"/>
      <c r="N1629" s="23"/>
      <c r="O1629" s="28"/>
    </row>
    <row r="1630" spans="2:15" s="22" customFormat="1" ht="45.75" customHeight="1">
      <c r="B1630" s="23"/>
      <c r="C1630" s="23"/>
      <c r="E1630" s="24"/>
      <c r="G1630" s="25"/>
      <c r="I1630" s="26"/>
      <c r="J1630" s="27"/>
      <c r="K1630" s="27"/>
      <c r="L1630" s="27"/>
      <c r="M1630" s="27"/>
      <c r="N1630" s="23"/>
      <c r="O1630" s="28"/>
    </row>
    <row r="1631" spans="2:15" s="22" customFormat="1" ht="45.75" customHeight="1">
      <c r="B1631" s="23"/>
      <c r="C1631" s="23"/>
      <c r="E1631" s="24"/>
      <c r="G1631" s="25"/>
      <c r="I1631" s="26"/>
      <c r="J1631" s="27"/>
      <c r="K1631" s="27"/>
      <c r="L1631" s="27"/>
      <c r="M1631" s="27"/>
      <c r="N1631" s="23"/>
      <c r="O1631" s="28"/>
    </row>
    <row r="1632" spans="2:15" s="22" customFormat="1" ht="45.75" customHeight="1">
      <c r="B1632" s="23"/>
      <c r="C1632" s="23"/>
      <c r="E1632" s="24"/>
      <c r="G1632" s="25"/>
      <c r="I1632" s="26"/>
      <c r="J1632" s="27"/>
      <c r="K1632" s="27"/>
      <c r="L1632" s="27"/>
      <c r="M1632" s="27"/>
      <c r="N1632" s="23"/>
      <c r="O1632" s="28"/>
    </row>
    <row r="1633" spans="2:15" s="22" customFormat="1" ht="45.75" customHeight="1">
      <c r="B1633" s="23"/>
      <c r="C1633" s="23"/>
      <c r="E1633" s="24"/>
      <c r="G1633" s="25"/>
      <c r="I1633" s="26"/>
      <c r="J1633" s="27"/>
      <c r="K1633" s="27"/>
      <c r="L1633" s="27"/>
      <c r="M1633" s="27"/>
      <c r="N1633" s="23"/>
      <c r="O1633" s="28"/>
    </row>
    <row r="1048567" ht="12.75" customHeight="1"/>
    <row r="1048568" ht="12.75" customHeight="1"/>
    <row r="1048569" ht="12.75" customHeight="1"/>
    <row r="1048570" ht="12.75" customHeight="1"/>
  </sheetData>
  <phoneticPr fontId="41" type="noConversion"/>
  <conditionalFormatting sqref="D1:F1 D413:F1048576">
    <cfRule type="containsText" dxfId="91" priority="93" operator="containsText" text="선택">
      <formula>NOT(ISERROR(SEARCH("선택",D1)))</formula>
    </cfRule>
  </conditionalFormatting>
  <conditionalFormatting sqref="D2:F100 D101 F101 D102:F104 D105:E105 D106:F116 E131:E135">
    <cfRule type="containsText" dxfId="90" priority="7" operator="containsText" text="(선택)">
      <formula>NOT(ISERROR(SEARCH("(선택)",D2)))</formula>
    </cfRule>
  </conditionalFormatting>
  <conditionalFormatting sqref="D118:F130">
    <cfRule type="containsText" dxfId="89" priority="85" operator="containsText" text="(선택)">
      <formula>NOT(ISERROR(SEARCH("(선택)",D118)))</formula>
    </cfRule>
  </conditionalFormatting>
  <conditionalFormatting sqref="D136:F443">
    <cfRule type="containsText" dxfId="88" priority="3" operator="containsText" text="(선택)">
      <formula>NOT(ISERROR(SEARCH("(선택)",D136)))</formula>
    </cfRule>
  </conditionalFormatting>
  <conditionalFormatting sqref="E1 E413:E1048576">
    <cfRule type="containsText" dxfId="87" priority="92" operator="containsText" text="(선택)">
      <formula>NOT(ISERROR(SEARCH("(선택)",E1)))</formula>
    </cfRule>
  </conditionalFormatting>
  <conditionalFormatting sqref="E117">
    <cfRule type="containsText" dxfId="86" priority="49" operator="containsText" text="(선택)">
      <formula>NOT(ISERROR(SEARCH("(선택)",E117)))</formula>
    </cfRule>
  </conditionalFormatting>
  <conditionalFormatting sqref="G1">
    <cfRule type="containsText" dxfId="85" priority="94" operator="containsText" text="(선택)">
      <formula>NOT(ISERROR(SEARCH("(선택)",G1)))</formula>
    </cfRule>
  </conditionalFormatting>
  <conditionalFormatting sqref="G2:G4 G23:G28 G33:G55 G58 G60:G62 G65:G81 G86:G92">
    <cfRule type="expression" dxfId="84" priority="91">
      <formula>LEN(TRIM(G2))=0</formula>
    </cfRule>
  </conditionalFormatting>
  <conditionalFormatting sqref="G5:G19">
    <cfRule type="containsText" dxfId="83" priority="73" operator="containsText" text="(선택)">
      <formula>NOT(ISERROR(SEARCH("(선택)",G5)))</formula>
    </cfRule>
    <cfRule type="expression" dxfId="82" priority="72">
      <formula>LEN(TRIM(G5))=0</formula>
    </cfRule>
  </conditionalFormatting>
  <conditionalFormatting sqref="G20">
    <cfRule type="containsText" dxfId="81" priority="74" operator="containsText" text="(선택)">
      <formula>NOT(ISERROR(SEARCH("(선택)",G20)))</formula>
    </cfRule>
  </conditionalFormatting>
  <conditionalFormatting sqref="G20:G22">
    <cfRule type="containsText" dxfId="80" priority="76" operator="containsText" text="(선택)">
      <formula>NOT(ISERROR(SEARCH("(선택)",G20)))</formula>
    </cfRule>
    <cfRule type="expression" dxfId="79" priority="75">
      <formula>LEN(TRIM(G20))=0</formula>
    </cfRule>
  </conditionalFormatting>
  <conditionalFormatting sqref="G29:G32">
    <cfRule type="containsText" dxfId="78" priority="71" operator="containsText" text="(선택)">
      <formula>NOT(ISERROR(SEARCH("(선택)",G29)))</formula>
    </cfRule>
    <cfRule type="expression" dxfId="77" priority="70">
      <formula>LEN(TRIM(G29))=0</formula>
    </cfRule>
  </conditionalFormatting>
  <conditionalFormatting sqref="G56:G57">
    <cfRule type="expression" dxfId="76" priority="8">
      <formula>LEN(TRIM(G56))=0</formula>
    </cfRule>
  </conditionalFormatting>
  <conditionalFormatting sqref="G59 G63:G64">
    <cfRule type="expression" dxfId="75" priority="68">
      <formula>LEN(TRIM(G59))=0</formula>
    </cfRule>
    <cfRule type="containsText" dxfId="74" priority="69" operator="containsText" text="(선택)">
      <formula>NOT(ISERROR(SEARCH("(선택)",G59)))</formula>
    </cfRule>
  </conditionalFormatting>
  <conditionalFormatting sqref="G82:G85">
    <cfRule type="containsText" dxfId="73" priority="67" operator="containsText" text="(선택)">
      <formula>NOT(ISERROR(SEARCH("(선택)",G82)))</formula>
    </cfRule>
    <cfRule type="expression" dxfId="72" priority="66">
      <formula>LEN(TRIM(G82))=0</formula>
    </cfRule>
  </conditionalFormatting>
  <conditionalFormatting sqref="G93">
    <cfRule type="containsText" dxfId="71" priority="65" operator="containsText" text="(선택)">
      <formula>NOT(ISERROR(SEARCH("(선택)",G93)))</formula>
    </cfRule>
    <cfRule type="expression" dxfId="70" priority="64">
      <formula>LEN(TRIM(G93))=0</formula>
    </cfRule>
  </conditionalFormatting>
  <conditionalFormatting sqref="G94:G102 G109 G113 G124 G136:G142 G153:G166 G168:G169 G171:G180 G186 G220:G271 G278:G297 G299">
    <cfRule type="expression" dxfId="69" priority="86">
      <formula>LEN(TRIM(G94))=0</formula>
    </cfRule>
  </conditionalFormatting>
  <conditionalFormatting sqref="G103 G110:G112">
    <cfRule type="containsText" dxfId="68" priority="55" operator="containsText" text="(선택)">
      <formula>NOT(ISERROR(SEARCH("(선택)",G103)))</formula>
    </cfRule>
  </conditionalFormatting>
  <conditionalFormatting sqref="G103:G105 G110:G112">
    <cfRule type="expression" dxfId="67" priority="54">
      <formula>LEN(TRIM(G103))=0</formula>
    </cfRule>
  </conditionalFormatting>
  <conditionalFormatting sqref="G104">
    <cfRule type="containsText" dxfId="66" priority="63" operator="containsText" text="(선택)">
      <formula>NOT(ISERROR(SEARCH("(선택)",G104)))</formula>
    </cfRule>
  </conditionalFormatting>
  <conditionalFormatting sqref="G104:G106">
    <cfRule type="containsText" dxfId="65" priority="60" operator="containsText" text="(선택)">
      <formula>NOT(ISERROR(SEARCH("(선택)",G104)))</formula>
    </cfRule>
  </conditionalFormatting>
  <conditionalFormatting sqref="G106">
    <cfRule type="expression" dxfId="64" priority="59">
      <formula>LEN(TRIM(F106))=0</formula>
    </cfRule>
  </conditionalFormatting>
  <conditionalFormatting sqref="G107">
    <cfRule type="containsText" dxfId="63" priority="58" operator="containsText" text="(선택)">
      <formula>NOT(ISERROR(SEARCH("(선택)",G107)))</formula>
    </cfRule>
  </conditionalFormatting>
  <conditionalFormatting sqref="G107:G108">
    <cfRule type="containsText" dxfId="62" priority="57" operator="containsText" text="(선택)">
      <formula>NOT(ISERROR(SEARCH("(선택)",G107)))</formula>
    </cfRule>
    <cfRule type="expression" dxfId="61" priority="56">
      <formula>LEN(TRIM(G107))=0</formula>
    </cfRule>
  </conditionalFormatting>
  <conditionalFormatting sqref="G114">
    <cfRule type="expression" dxfId="60" priority="52">
      <formula>LEN(TRIM(G114))=0</formula>
    </cfRule>
    <cfRule type="containsText" dxfId="59" priority="53" operator="containsText" text="(선택)">
      <formula>NOT(ISERROR(SEARCH("(선택)",G114)))</formula>
    </cfRule>
  </conditionalFormatting>
  <conditionalFormatting sqref="G115">
    <cfRule type="expression" dxfId="58" priority="50">
      <formula>LEN(TRIM(F115))=0</formula>
    </cfRule>
    <cfRule type="containsText" dxfId="57" priority="51" operator="containsText" text="(선택)">
      <formula>NOT(ISERROR(SEARCH("(선택)",G115)))</formula>
    </cfRule>
  </conditionalFormatting>
  <conditionalFormatting sqref="G116:G117">
    <cfRule type="expression" dxfId="56" priority="47">
      <formula>LEN(TRIM(G116))=0</formula>
    </cfRule>
    <cfRule type="containsText" dxfId="55" priority="48" operator="containsText" text="(선택)">
      <formula>NOT(ISERROR(SEARCH("(선택)",G116)))</formula>
    </cfRule>
  </conditionalFormatting>
  <conditionalFormatting sqref="G118">
    <cfRule type="containsText" dxfId="54" priority="35" operator="containsText" text="(선택)">
      <formula>NOT(ISERROR(SEARCH("(선택)",G118)))</formula>
    </cfRule>
    <cfRule type="expression" dxfId="53" priority="36">
      <formula>LEN(TRIM(G118))=0</formula>
    </cfRule>
  </conditionalFormatting>
  <conditionalFormatting sqref="G119">
    <cfRule type="containsText" dxfId="52" priority="46" operator="containsText" text="(선택)">
      <formula>NOT(ISERROR(SEARCH("(선택)",G119)))</formula>
    </cfRule>
    <cfRule type="expression" dxfId="51" priority="45">
      <formula>LEN(TRIM(G119))=0</formula>
    </cfRule>
  </conditionalFormatting>
  <conditionalFormatting sqref="G120">
    <cfRule type="containsText" dxfId="50" priority="33" operator="containsText" text="(선택)">
      <formula>NOT(ISERROR(SEARCH("(선택)",G120)))</formula>
    </cfRule>
    <cfRule type="expression" dxfId="49" priority="34">
      <formula>LEN(TRIM(G120))=0</formula>
    </cfRule>
  </conditionalFormatting>
  <conditionalFormatting sqref="G121:G123">
    <cfRule type="expression" dxfId="48" priority="43">
      <formula>LEN(TRIM(G121))=0</formula>
    </cfRule>
    <cfRule type="containsText" dxfId="47" priority="44" operator="containsText" text="(선택)">
      <formula>NOT(ISERROR(SEARCH("(선택)",G121)))</formula>
    </cfRule>
  </conditionalFormatting>
  <conditionalFormatting sqref="G125:G129">
    <cfRule type="containsText" dxfId="46" priority="42" operator="containsText" text="(선택)">
      <formula>NOT(ISERROR(SEARCH("(선택)",G125)))</formula>
    </cfRule>
    <cfRule type="expression" dxfId="45" priority="41">
      <formula>LEN(TRIM(G125))=0</formula>
    </cfRule>
  </conditionalFormatting>
  <conditionalFormatting sqref="G130">
    <cfRule type="containsText" dxfId="44" priority="40" operator="containsText" text="(선택)">
      <formula>NOT(ISERROR(SEARCH("(선택)",G130)))</formula>
    </cfRule>
    <cfRule type="expression" dxfId="43" priority="39">
      <formula>LEN(TRIM(F130))=0</formula>
    </cfRule>
  </conditionalFormatting>
  <conditionalFormatting sqref="G131:G135">
    <cfRule type="expression" dxfId="42" priority="37">
      <formula>LEN(TRIM(G131))=0</formula>
    </cfRule>
    <cfRule type="containsText" dxfId="41" priority="38" operator="containsText" text="(선택)">
      <formula>NOT(ISERROR(SEARCH("(선택)",G131)))</formula>
    </cfRule>
  </conditionalFormatting>
  <conditionalFormatting sqref="G143:G152">
    <cfRule type="expression" dxfId="40" priority="31">
      <formula>LEN(TRIM(G143))=0</formula>
    </cfRule>
    <cfRule type="containsText" dxfId="39" priority="32" operator="containsText" text="(선택)">
      <formula>NOT(ISERROR(SEARCH("(선택)",G143)))</formula>
    </cfRule>
  </conditionalFormatting>
  <conditionalFormatting sqref="G167">
    <cfRule type="containsText" dxfId="38" priority="30" operator="containsText" text="(선택)">
      <formula>NOT(ISERROR(SEARCH("(선택)",G167)))</formula>
    </cfRule>
    <cfRule type="expression" dxfId="37" priority="29">
      <formula>LEN(TRIM(G167))=0</formula>
    </cfRule>
  </conditionalFormatting>
  <conditionalFormatting sqref="G170">
    <cfRule type="containsText" dxfId="36" priority="28" operator="containsText" text="(선택)">
      <formula>NOT(ISERROR(SEARCH("(선택)",G170)))</formula>
    </cfRule>
    <cfRule type="expression" dxfId="35" priority="27">
      <formula>LEN(TRIM(G170))=0</formula>
    </cfRule>
  </conditionalFormatting>
  <conditionalFormatting sqref="G181:G185">
    <cfRule type="containsText" dxfId="34" priority="26" operator="containsText" text="(선택)">
      <formula>NOT(ISERROR(SEARCH("(선택)",G181)))</formula>
    </cfRule>
    <cfRule type="expression" dxfId="33" priority="25">
      <formula>LEN(TRIM(G181))=0</formula>
    </cfRule>
  </conditionalFormatting>
  <conditionalFormatting sqref="G187">
    <cfRule type="containsText" dxfId="32" priority="24" operator="containsText" text="(선택)">
      <formula>NOT(ISERROR(SEARCH("(선택)",G187)))</formula>
    </cfRule>
    <cfRule type="expression" dxfId="31" priority="23">
      <formula>LEN(TRIM(G187))=0</formula>
    </cfRule>
  </conditionalFormatting>
  <conditionalFormatting sqref="G188">
    <cfRule type="containsText" dxfId="30" priority="22" operator="containsText" text="(선택)">
      <formula>NOT(ISERROR(SEARCH("(선택)",G188)))</formula>
    </cfRule>
    <cfRule type="expression" dxfId="29" priority="21">
      <formula>LEN(TRIM(F188))=0</formula>
    </cfRule>
  </conditionalFormatting>
  <conditionalFormatting sqref="G189:G219">
    <cfRule type="containsText" dxfId="28" priority="6" operator="containsText" text="(선택)">
      <formula>NOT(ISERROR(SEARCH("(선택)",G189)))</formula>
    </cfRule>
    <cfRule type="expression" dxfId="27" priority="5">
      <formula>LEN(TRIM(G189))=0</formula>
    </cfRule>
  </conditionalFormatting>
  <conditionalFormatting sqref="G272:G277">
    <cfRule type="containsText" dxfId="26" priority="20" operator="containsText" text="(선택)">
      <formula>NOT(ISERROR(SEARCH("(선택)",G272)))</formula>
    </cfRule>
    <cfRule type="expression" dxfId="25" priority="19">
      <formula>LEN(TRIM(G272))=0</formula>
    </cfRule>
  </conditionalFormatting>
  <conditionalFormatting sqref="G298">
    <cfRule type="containsText" dxfId="24" priority="18" operator="containsText" text="(선택)">
      <formula>NOT(ISERROR(SEARCH("(선택)",G298)))</formula>
    </cfRule>
    <cfRule type="expression" dxfId="23" priority="17">
      <formula>LEN(TRIM(G298))=0</formula>
    </cfRule>
  </conditionalFormatting>
  <conditionalFormatting sqref="G300:G306 G308:G374 G376:G380 G383:G391 G393:G411">
    <cfRule type="expression" dxfId="22" priority="80">
      <formula>LEN(TRIM(G300))=0</formula>
    </cfRule>
  </conditionalFormatting>
  <conditionalFormatting sqref="G307">
    <cfRule type="expression" dxfId="21" priority="16">
      <formula>LEN(TRIM(G307))=0</formula>
    </cfRule>
    <cfRule type="containsText" dxfId="20" priority="15" operator="containsText" text="(선택)">
      <formula>NOT(ISERROR(SEARCH("(선택)",G307)))</formula>
    </cfRule>
  </conditionalFormatting>
  <conditionalFormatting sqref="G375">
    <cfRule type="expression" dxfId="19" priority="4">
      <formula>LEN(TRIM(G375))=0</formula>
    </cfRule>
  </conditionalFormatting>
  <conditionalFormatting sqref="G381:G382">
    <cfRule type="containsText" dxfId="18" priority="14" operator="containsText" text="(선택)">
      <formula>NOT(ISERROR(SEARCH("(선택)",G381)))</formula>
    </cfRule>
    <cfRule type="expression" dxfId="17" priority="13">
      <formula>LEN(TRIM(G381))=0</formula>
    </cfRule>
  </conditionalFormatting>
  <conditionalFormatting sqref="G392">
    <cfRule type="containsText" dxfId="16" priority="12" operator="containsText" text="(선택)">
      <formula>NOT(ISERROR(SEARCH("(선택)",G392)))</formula>
    </cfRule>
    <cfRule type="expression" dxfId="15" priority="11">
      <formula>LEN(TRIM(G392))=0</formula>
    </cfRule>
  </conditionalFormatting>
  <conditionalFormatting sqref="G412">
    <cfRule type="expression" dxfId="14" priority="9">
      <formula>LEN(TRIM(G412))=0</formula>
    </cfRule>
  </conditionalFormatting>
  <conditionalFormatting sqref="G412:G1048576">
    <cfRule type="containsText" dxfId="13" priority="10" operator="containsText" text="(선택)">
      <formula>NOT(ISERROR(SEARCH("(선택)",G412)))</formula>
    </cfRule>
  </conditionalFormatting>
  <conditionalFormatting sqref="G413:G443">
    <cfRule type="expression" dxfId="12" priority="78">
      <formula>LEN(TRIM(G413))=0</formula>
    </cfRule>
  </conditionalFormatting>
  <conditionalFormatting sqref="J300:J415">
    <cfRule type="containsText" dxfId="11" priority="2" operator="containsText" text="Performance">
      <formula>NOT(ISERROR(SEARCH("Performance",J300)))</formula>
    </cfRule>
  </conditionalFormatting>
  <conditionalFormatting sqref="J71:K72">
    <cfRule type="containsText" dxfId="10" priority="89" operator="containsText" text="Performance">
      <formula>NOT(ISERROR(SEARCH("Performance",J71)))</formula>
    </cfRule>
  </conditionalFormatting>
  <conditionalFormatting sqref="J202:K221 J222:M269 J270:K275">
    <cfRule type="containsText" dxfId="9" priority="84" operator="containsText" text="Performance">
      <formula>NOT(ISERROR(SEARCH("Performance",J202)))</formula>
    </cfRule>
  </conditionalFormatting>
  <conditionalFormatting sqref="J299:K299">
    <cfRule type="containsText" dxfId="8" priority="87" operator="containsText" text="Performance">
      <formula>NOT(ISERROR(SEARCH("Performance",J299)))</formula>
    </cfRule>
  </conditionalFormatting>
  <conditionalFormatting sqref="J1:M55 L71:M71 N92:N97">
    <cfRule type="containsText" dxfId="7" priority="90" operator="containsText" text="Performance">
      <formula>NOT(ISERROR(SEARCH("Performance",J1)))</formula>
    </cfRule>
  </conditionalFormatting>
  <conditionalFormatting sqref="J58:M70">
    <cfRule type="containsText" dxfId="6" priority="79" operator="containsText" text="Performance">
      <formula>NOT(ISERROR(SEARCH("Performance",J58)))</formula>
    </cfRule>
  </conditionalFormatting>
  <conditionalFormatting sqref="J73:M135 J417:J443">
    <cfRule type="containsText" dxfId="5" priority="95" operator="containsText" text="Performance">
      <formula>NOT(ISERROR(SEARCH("Performance",J73)))</formula>
    </cfRule>
  </conditionalFormatting>
  <conditionalFormatting sqref="J166:M201">
    <cfRule type="containsText" dxfId="4" priority="82" operator="containsText" text="Performance">
      <formula>NOT(ISERROR(SEARCH("Performance",J166)))</formula>
    </cfRule>
  </conditionalFormatting>
  <conditionalFormatting sqref="J276:M298">
    <cfRule type="containsText" dxfId="3" priority="81" operator="containsText" text="Performance">
      <formula>NOT(ISERROR(SEARCH("Performance",J276)))</formula>
    </cfRule>
  </conditionalFormatting>
  <conditionalFormatting sqref="J413:M1048576">
    <cfRule type="containsText" dxfId="2" priority="77" operator="containsText" text="Performance">
      <formula>NOT(ISERROR(SEARCH("Performance",J413)))</formula>
    </cfRule>
  </conditionalFormatting>
  <conditionalFormatting sqref="K220:K221">
    <cfRule type="containsText" dxfId="1" priority="83" operator="containsText" text="Performance">
      <formula>NOT(ISERROR(SEARCH("Performance",K220)))</formula>
    </cfRule>
  </conditionalFormatting>
  <conditionalFormatting sqref="N124 J136:K165 N136:N165">
    <cfRule type="containsText" dxfId="0" priority="88" operator="containsText" text="Performance">
      <formula>NOT(ISERROR(SEARCH("Performance",J124)))</formula>
    </cfRule>
  </conditionalFormatting>
  <dataValidations count="51">
    <dataValidation type="list" allowBlank="1" showInputMessage="1" showErrorMessage="1" sqref="E3" xr:uid="{00000000-0002-0000-0100-000000000000}">
      <formula1>"(선택),Isolation,Double Walled"</formula1>
      <formula2>0</formula2>
    </dataValidation>
    <dataValidation type="list" allowBlank="1" showInputMessage="1" showErrorMessage="1" sqref="E4" xr:uid="{00000000-0002-0000-0100-000001000000}">
      <formula1>"(선택),PoE,Non-PoE"</formula1>
      <formula2>0</formula2>
    </dataValidation>
    <dataValidation type="list" allowBlank="1" showInputMessage="1" showErrorMessage="1" sqref="E23" xr:uid="{00000000-0002-0000-0100-000002000000}">
      <formula1>"(선택),Slot,USB"</formula1>
      <formula2>0</formula2>
    </dataValidation>
    <dataValidation type="list" allowBlank="1" showInputMessage="1" showErrorMessage="1" sqref="E22 E39 E46:E47 E124 E137 E157 E225 E306 E320:E321 E325:E326 E335 E360:E364 E367 E369:E372" xr:uid="{00000000-0002-0000-0100-000003000000}">
      <formula1>"(선택),Yes,N/A"</formula1>
      <formula2>0</formula2>
    </dataValidation>
    <dataValidation type="list" allowBlank="1" showInputMessage="1" showErrorMessage="1" sqref="E17" xr:uid="{00000000-0002-0000-0100-000004000000}">
      <formula1>"(선택),Window10 64bit,Window11 64bit"</formula1>
      <formula2>0</formula2>
    </dataValidation>
    <dataValidation type="list" allowBlank="1" showInputMessage="1" showErrorMessage="1" sqref="E21" xr:uid="{00000000-0002-0000-0100-000005000000}">
      <formula1>"(선택),HP Z4 G4 Workstation,HP Z4 G5 Workstation,Dell 5860T"</formula1>
      <formula2>0</formula2>
    </dataValidation>
    <dataValidation type="list" allowBlank="1" showInputMessage="1" showErrorMessage="1" sqref="E18" xr:uid="{00000000-0002-0000-0100-000006000000}">
      <formula1>"(선택),English,Korean"</formula1>
      <formula2>0</formula2>
    </dataValidation>
    <dataValidation type="list" allowBlank="1" showInputMessage="1" showErrorMessage="1" sqref="E383:E385" xr:uid="{00000000-0002-0000-0100-000007000000}">
      <formula1>"(선택),N/A,Yes"</formula1>
      <formula2>0</formula2>
    </dataValidation>
    <dataValidation type="list" allowBlank="1" showInputMessage="1" showErrorMessage="1" sqref="F95" xr:uid="{00000000-0002-0000-0100-000008000000}">
      <formula1>"(선택),N/A,0.1,0.2"</formula1>
      <formula2>0</formula2>
    </dataValidation>
    <dataValidation type="list" allowBlank="1" showInputMessage="1" showErrorMessage="1" sqref="E92" xr:uid="{00000000-0002-0000-0100-000009000000}">
      <formula1>"(선택),2,4,6,7,8"</formula1>
      <formula2>0</formula2>
    </dataValidation>
    <dataValidation type="list" allowBlank="1" showInputMessage="1" showErrorMessage="1" sqref="F116" xr:uid="{00000000-0002-0000-0100-00000A000000}">
      <formula1>"(선택),15.4,18"</formula1>
      <formula2>0</formula2>
    </dataValidation>
    <dataValidation type="list" allowBlank="1" showInputMessage="1" showErrorMessage="1" sqref="D116" xr:uid="{00000000-0002-0000-0100-00000B000000}">
      <formula1>"(선택),10,11.8"</formula1>
      <formula2>0</formula2>
    </dataValidation>
    <dataValidation type="list" allowBlank="1" showInputMessage="1" showErrorMessage="1" sqref="E98" xr:uid="{00000000-0002-0000-0100-00000C000000}">
      <formula1>"(선택),IND-M,IND-M1"</formula1>
      <formula2>0</formula2>
    </dataValidation>
    <dataValidation type="list" allowBlank="1" showInputMessage="1" showErrorMessage="1" sqref="E99" xr:uid="{00000000-0002-0000-0100-00000D000000}">
      <formula1>"(선택),0x6e31041e,0x6e310420"</formula1>
      <formula2>0</formula2>
    </dataValidation>
    <dataValidation type="list" allowBlank="1" showInputMessage="1" showErrorMessage="1" sqref="F164" xr:uid="{00000000-0002-0000-0100-00000E000000}">
      <formula1>"(선택),30,50"</formula1>
      <formula2>0</formula2>
    </dataValidation>
    <dataValidation type="list" allowBlank="1" showInputMessage="1" showErrorMessage="1" sqref="E161" xr:uid="{00000000-0002-0000-0100-00000F000000}">
      <formula1>"(선택),Pin type,Pin Bar type,Bar type,Fork type,Rubber Pad type,Porous,N/A"</formula1>
      <formula2>0</formula2>
    </dataValidation>
    <dataValidation type="list" allowBlank="1" showInputMessage="1" showErrorMessage="1" sqref="E162" xr:uid="{00000000-0002-0000-0100-000010000000}">
      <formula1>"(선택),Aluminium,SiC,SiSiC,PEEK,Ceramic"</formula1>
      <formula2>0</formula2>
    </dataValidation>
    <dataValidation type="list" allowBlank="1" showInputMessage="1" showErrorMessage="1" sqref="E158" xr:uid="{00000000-0002-0000-0100-000011000000}">
      <formula1>"(선택),0x6e250420"</formula1>
      <formula2>0</formula2>
    </dataValidation>
    <dataValidation type="list" allowBlank="1" showInputMessage="1" showErrorMessage="1" sqref="E176" xr:uid="{00000000-0002-0000-0100-000012000000}">
      <formula1>"(선택),White,Amber"</formula1>
      <formula2>0</formula2>
    </dataValidation>
    <dataValidation type="list" allowBlank="1" showInputMessage="1" showErrorMessage="1" sqref="E184" xr:uid="{00000000-0002-0000-0100-000013000000}">
      <formula1>"(선택),1830,1828"</formula1>
      <formula2>0</formula2>
    </dataValidation>
    <dataValidation type="list" allowBlank="1" showInputMessage="1" showErrorMessage="1" sqref="E179" xr:uid="{00000000-0002-0000-0100-000014000000}">
      <formula1>"(선택),GT2450C,Mako G-507C"</formula1>
      <formula2>0</formula2>
    </dataValidation>
    <dataValidation type="list" allowBlank="1" showInputMessage="1" showErrorMessage="1" sqref="E177 E375" xr:uid="{00000000-0002-0000-0100-000015000000}">
      <formula1>"(선택),Yes,No"</formula1>
      <formula2>0</formula2>
    </dataValidation>
    <dataValidation type="list" allowBlank="1" showInputMessage="1" showErrorMessage="1" sqref="E220" xr:uid="{00000000-0002-0000-0100-000016000000}">
      <formula1>"(선택),200,160"</formula1>
      <formula2>0</formula2>
    </dataValidation>
    <dataValidation type="list" allowBlank="1" showInputMessage="1" showErrorMessage="1" sqref="F214" xr:uid="{00000000-0002-0000-0100-000017000000}">
      <formula1>"(선택),0.4,0.5"</formula1>
      <formula2>0</formula2>
    </dataValidation>
    <dataValidation type="list" allowBlank="1" showInputMessage="1" showErrorMessage="1" sqref="F215" xr:uid="{00000000-0002-0000-0100-000018000000}">
      <formula1>"(선택),0.4,0.6"</formula1>
      <formula2>0</formula2>
    </dataValidation>
    <dataValidation type="list" allowBlank="1" showInputMessage="1" showErrorMessage="1" sqref="F216 F218" xr:uid="{00000000-0002-0000-0100-000019000000}">
      <formula1>"(선택),0.5,0.6"</formula1>
      <formula2>0</formula2>
    </dataValidation>
    <dataValidation type="list" allowBlank="1" showInputMessage="1" showErrorMessage="1" sqref="F217 F219" xr:uid="{00000000-0002-0000-0100-00001A000000}">
      <formula1>"(선택),0.5,0.7"</formula1>
      <formula2>0</formula2>
    </dataValidation>
    <dataValidation type="list" allowBlank="1" showInputMessage="1" showErrorMessage="1" sqref="E240" xr:uid="{00000000-0002-0000-0100-00001B000000}">
      <formula1>"(선택),HCMNEW,PSC"</formula1>
      <formula2>0</formula2>
    </dataValidation>
    <dataValidation type="list" allowBlank="1" showInputMessage="1" showErrorMessage="1" sqref="E245" xr:uid="{00000000-0002-0000-0100-00001C000000}">
      <formula1>"(선택),1,N/A"</formula1>
      <formula2>0</formula2>
    </dataValidation>
    <dataValidation type="list" allowBlank="1" showInputMessage="1" showErrorMessage="1" sqref="E244" xr:uid="{00000000-0002-0000-0100-00001D000000}">
      <formula1>"(선택),38400,N/A"</formula1>
      <formula2>0</formula2>
    </dataValidation>
    <dataValidation type="list" allowBlank="1" showInputMessage="1" showErrorMessage="1" sqref="E228" xr:uid="{00000000-0002-0000-0100-00001E000000}">
      <formula1>"(선택),N/A,,"</formula1>
      <formula2>0</formula2>
    </dataValidation>
    <dataValidation type="list" allowBlank="1" showInputMessage="1" showErrorMessage="1" sqref="E221" xr:uid="{00000000-0002-0000-0100-00001F000000}">
      <formula1>"(선택),80,50"</formula1>
      <formula2>0</formula2>
    </dataValidation>
    <dataValidation type="list" allowBlank="1" showInputMessage="1" showErrorMessage="1" sqref="F296" xr:uid="{00000000-0002-0000-0100-000020000000}">
      <formula1>"(선택),15000,29000"</formula1>
      <formula2>0</formula2>
    </dataValidation>
    <dataValidation type="list" allowBlank="1" showInputMessage="1" showErrorMessage="1" sqref="D296" xr:uid="{00000000-0002-0000-0100-000021000000}">
      <formula1>"(선택),12000,22000"</formula1>
      <formula2>0</formula2>
    </dataValidation>
    <dataValidation type="list" allowBlank="1" showInputMessage="1" showErrorMessage="1" sqref="E297" xr:uid="{00000000-0002-0000-0100-000022000000}">
      <formula1>"(선택),S45C,AL6061"</formula1>
      <formula2>0</formula2>
    </dataValidation>
    <dataValidation type="list" allowBlank="1" showInputMessage="1" showErrorMessage="1" sqref="F298" xr:uid="{00000000-0002-0000-0100-000023000000}">
      <formula1>"(선택),20,45"</formula1>
      <formula2>0</formula2>
    </dataValidation>
    <dataValidation type="list" allowBlank="1" showInputMessage="1" showErrorMessage="1" sqref="E353" xr:uid="{00000000-0002-0000-0100-000024000000}">
      <formula1>"(선택),2,2&amp;4"</formula1>
      <formula2>0</formula2>
    </dataValidation>
    <dataValidation type="list" allowBlank="1" showInputMessage="1" showErrorMessage="1" sqref="D355" xr:uid="{00000000-0002-0000-0100-000025000000}">
      <formula1>"(선택),120,198"</formula1>
      <formula2>0</formula2>
    </dataValidation>
    <dataValidation type="list" allowBlank="1" showInputMessage="1" showErrorMessage="1" sqref="D382" xr:uid="{00000000-0002-0000-0100-000026000000}">
      <formula1>"(선택),-12,-80"</formula1>
      <formula2>0</formula2>
    </dataValidation>
    <dataValidation type="list" allowBlank="1" showInputMessage="1" showErrorMessage="1" sqref="F382" xr:uid="{00000000-0002-0000-0100-000027000000}">
      <formula1>"(선택),-8,-40,-60"</formula1>
      <formula2>0</formula2>
    </dataValidation>
    <dataValidation type="list" allowBlank="1" showInputMessage="1" showErrorMessage="1" sqref="E386" xr:uid="{00000000-0002-0000-0100-000028000000}">
      <formula1>"(선택),60,N/A"</formula1>
      <formula2>0</formula2>
    </dataValidation>
    <dataValidation type="list" allowBlank="1" showInputMessage="1" showErrorMessage="1" sqref="E387 E389" xr:uid="{00000000-0002-0000-0100-000029000000}">
      <formula1>"(선택),20,N/A"</formula1>
      <formula2>0</formula2>
    </dataValidation>
    <dataValidation type="list" allowBlank="1" showInputMessage="1" showErrorMessage="1" sqref="E377" xr:uid="{00000000-0002-0000-0100-00002A000000}">
      <formula1>"(선택),5,10,N/A"</formula1>
      <formula2>0</formula2>
    </dataValidation>
    <dataValidation type="list" allowBlank="1" showInputMessage="1" showErrorMessage="1" sqref="E374" xr:uid="{00000000-0002-0000-0100-00002B000000}">
      <formula1>"(선택),N/A,Installed"</formula1>
      <formula2>0</formula2>
    </dataValidation>
    <dataValidation type="list" operator="equal" allowBlank="1" showInputMessage="1" showErrorMessage="1" sqref="E131" xr:uid="{00000000-0002-0000-0100-00002C000000}">
      <formula1>"(선택),Standard,Long,Auto standard,Auto Long"</formula1>
      <formula2>0</formula2>
    </dataValidation>
    <dataValidation type="list" allowBlank="1" showInputMessage="1" showErrorMessage="1" sqref="E376" xr:uid="{00000000-0002-0000-0100-00002D000000}">
      <formula1>"(선택),White,Red"</formula1>
      <formula2>0</formula2>
    </dataValidation>
    <dataValidation type="list" allowBlank="1" showInputMessage="1" showErrorMessage="1" sqref="E317" xr:uid="{00000000-0002-0000-0100-00002E000000}">
      <formula1>"(선택),7,5"</formula1>
      <formula2>0</formula2>
    </dataValidation>
    <dataValidation type="list" allowBlank="1" showInputMessage="1" showErrorMessage="1" sqref="E338:E341" xr:uid="{00000000-0002-0000-0100-00002F000000}">
      <formula1>"(선택),Center"</formula1>
      <formula2>0</formula2>
    </dataValidation>
    <dataValidation type="list" allowBlank="1" showInputMessage="1" showErrorMessage="1" sqref="F340:F341" xr:uid="{00000000-0002-0000-0100-000030000000}">
      <formula1>"(선택),0.10,0.15"</formula1>
      <formula2>0</formula2>
    </dataValidation>
    <dataValidation type="list" allowBlank="1" showInputMessage="1" showErrorMessage="1" sqref="D340:D341" xr:uid="{00000000-0002-0000-0100-000031000000}">
      <formula1>"(선택),-0.10,-0.15"</formula1>
      <formula2>0</formula2>
    </dataValidation>
    <dataValidation type="list" allowBlank="1" showInputMessage="1" showErrorMessage="1" sqref="E342:E343" xr:uid="{00000000-0002-0000-0100-000032000000}">
      <formula1>"(선택),N/A"</formula1>
      <formula2>0</formula2>
    </dataValidation>
  </dataValidations>
  <printOptions horizontalCentered="1"/>
  <pageMargins left="0.196527777777778" right="0.196527777777778" top="0.39374999999999999" bottom="0.39305555555555599" header="0.511811023622047" footer="0.196527777777778"/>
  <pageSetup paperSize="9" scale="34" fitToHeight="0" orientation="landscape" horizontalDpi="300" verticalDpi="300" r:id="rId1"/>
  <headerFooter>
    <oddFooter>&amp;C&amp;6&amp;P/&amp;N&amp;R&amp;6Industrial Checklist_2026-Q1-Rev.0</oddFooter>
  </headerFooter>
  <rowBreaks count="7" manualBreakCount="7">
    <brk id="59" max="16383" man="1"/>
    <brk id="116" max="16383" man="1"/>
    <brk id="174" max="16383" man="1"/>
    <brk id="232" max="16383" man="1"/>
    <brk id="290" max="16383" man="1"/>
    <brk id="348" max="16383" man="1"/>
    <brk id="406" max="16383"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B4:X345"/>
  <sheetViews>
    <sheetView showGridLines="0" view="pageBreakPreview" topLeftCell="A14" zoomScale="45" zoomScaleNormal="55" zoomScalePageLayoutView="45" workbookViewId="0">
      <selection activeCell="AE10" sqref="AE10"/>
    </sheetView>
  </sheetViews>
  <sheetFormatPr defaultColWidth="8.75" defaultRowHeight="17.25" customHeight="1"/>
  <cols>
    <col min="2" max="7" width="8.75" style="13"/>
    <col min="8" max="8" width="8.75" style="108"/>
    <col min="9" max="9" width="7.125" style="13" customWidth="1"/>
    <col min="10" max="10" width="2.5" style="13" customWidth="1"/>
    <col min="11" max="11" width="20.25" style="13" customWidth="1"/>
    <col min="12" max="12" width="3.125" customWidth="1"/>
    <col min="13" max="13" width="6.25" customWidth="1"/>
    <col min="14" max="14" width="2.5" customWidth="1"/>
    <col min="15" max="15" width="7" customWidth="1"/>
    <col min="16" max="16" width="2.5" customWidth="1"/>
  </cols>
  <sheetData>
    <row r="4" spans="5:24" ht="16.5">
      <c r="G4" s="135" t="s">
        <v>689</v>
      </c>
      <c r="H4" s="135"/>
      <c r="I4" s="135"/>
      <c r="J4" s="135"/>
      <c r="K4" s="135"/>
      <c r="L4" s="135"/>
      <c r="M4" s="135"/>
      <c r="N4" s="135"/>
      <c r="O4" s="135"/>
      <c r="P4" s="135"/>
      <c r="Q4" s="135"/>
      <c r="R4" s="135"/>
      <c r="S4" s="135"/>
      <c r="T4" s="135"/>
      <c r="U4" s="135"/>
    </row>
    <row r="5" spans="5:24" ht="16.5">
      <c r="G5" s="135"/>
      <c r="H5" s="135"/>
      <c r="I5" s="135"/>
      <c r="J5" s="135"/>
      <c r="K5" s="135"/>
      <c r="L5" s="135"/>
      <c r="M5" s="135"/>
      <c r="N5" s="135"/>
      <c r="O5" s="135"/>
      <c r="P5" s="135"/>
      <c r="Q5" s="135"/>
      <c r="R5" s="135"/>
      <c r="S5" s="135"/>
      <c r="T5" s="135"/>
      <c r="U5" s="135"/>
    </row>
    <row r="6" spans="5:24" ht="16.5">
      <c r="G6" s="135"/>
      <c r="H6" s="135"/>
      <c r="I6" s="135"/>
      <c r="J6" s="135"/>
      <c r="K6" s="135"/>
      <c r="L6" s="135"/>
      <c r="M6" s="135"/>
      <c r="N6" s="135"/>
      <c r="O6" s="135"/>
      <c r="P6" s="135"/>
      <c r="Q6" s="135"/>
      <c r="R6" s="135"/>
      <c r="S6" s="135"/>
      <c r="T6" s="135"/>
      <c r="U6" s="135"/>
    </row>
    <row r="7" spans="5:24" ht="16.5">
      <c r="G7" s="135"/>
      <c r="H7" s="135"/>
      <c r="I7" s="135"/>
      <c r="J7" s="135"/>
      <c r="K7" s="135"/>
      <c r="L7" s="135"/>
      <c r="M7" s="135"/>
      <c r="N7" s="135"/>
      <c r="O7" s="135"/>
      <c r="P7" s="135"/>
      <c r="Q7" s="135"/>
      <c r="R7" s="135"/>
      <c r="S7" s="135"/>
      <c r="T7" s="135"/>
      <c r="U7" s="135"/>
    </row>
    <row r="8" spans="5:24" ht="17.25" customHeight="1">
      <c r="G8" s="109"/>
      <c r="H8" s="109"/>
      <c r="I8" s="109"/>
      <c r="J8" s="109"/>
      <c r="K8" s="109"/>
      <c r="L8" s="109"/>
      <c r="M8" s="109"/>
      <c r="N8" s="109"/>
      <c r="O8" s="109"/>
      <c r="P8" s="109"/>
      <c r="Q8" s="109"/>
      <c r="R8" s="109"/>
      <c r="S8" s="109"/>
      <c r="T8" s="109"/>
      <c r="U8" s="109"/>
    </row>
    <row r="9" spans="5:24" ht="17.25" customHeight="1">
      <c r="G9" s="109"/>
      <c r="H9" s="109"/>
      <c r="I9" s="109"/>
      <c r="J9" s="109"/>
      <c r="K9" s="109"/>
      <c r="L9" s="109"/>
      <c r="M9" s="109"/>
      <c r="N9" s="109"/>
      <c r="O9" s="109"/>
      <c r="P9" s="109"/>
      <c r="Q9" s="109"/>
      <c r="R9" s="109"/>
      <c r="S9" s="109"/>
      <c r="T9" s="109"/>
      <c r="U9" s="109"/>
    </row>
    <row r="12" spans="5:24" ht="17.25" customHeight="1">
      <c r="E12" s="136" t="s">
        <v>690</v>
      </c>
      <c r="F12" s="136"/>
      <c r="G12" s="136"/>
      <c r="H12" s="136"/>
      <c r="I12" s="136"/>
      <c r="J12" s="136"/>
      <c r="K12" s="136"/>
      <c r="L12" s="136"/>
      <c r="M12" s="136"/>
      <c r="N12" s="136"/>
      <c r="O12" s="136"/>
      <c r="P12" s="136"/>
      <c r="Q12" s="136"/>
      <c r="R12" s="136"/>
      <c r="S12" s="136"/>
      <c r="T12" s="136"/>
      <c r="U12" s="136"/>
      <c r="V12" s="136"/>
      <c r="W12" s="136"/>
      <c r="X12" s="136"/>
    </row>
    <row r="13" spans="5:24" ht="16.5">
      <c r="E13" s="136"/>
      <c r="F13" s="136"/>
      <c r="G13" s="136"/>
      <c r="H13" s="136"/>
      <c r="I13" s="136"/>
      <c r="J13" s="136"/>
      <c r="K13" s="136"/>
      <c r="L13" s="136"/>
      <c r="M13" s="136"/>
      <c r="N13" s="136"/>
      <c r="O13" s="136"/>
      <c r="P13" s="136"/>
      <c r="Q13" s="136"/>
      <c r="R13" s="136"/>
      <c r="S13" s="136"/>
      <c r="T13" s="136"/>
      <c r="U13" s="136"/>
      <c r="V13" s="136"/>
      <c r="W13" s="136"/>
      <c r="X13" s="136"/>
    </row>
    <row r="14" spans="5:24" ht="16.5">
      <c r="E14" s="136"/>
      <c r="F14" s="136"/>
      <c r="G14" s="136"/>
      <c r="H14" s="136"/>
      <c r="I14" s="136"/>
      <c r="J14" s="136"/>
      <c r="K14" s="136"/>
      <c r="L14" s="136"/>
      <c r="M14" s="136"/>
      <c r="N14" s="136"/>
      <c r="O14" s="136"/>
      <c r="P14" s="136"/>
      <c r="Q14" s="136"/>
      <c r="R14" s="136"/>
      <c r="S14" s="136"/>
      <c r="T14" s="136"/>
      <c r="U14" s="136"/>
      <c r="V14" s="136"/>
      <c r="W14" s="136"/>
      <c r="X14" s="136"/>
    </row>
    <row r="15" spans="5:24" ht="16.5">
      <c r="E15" s="136"/>
      <c r="F15" s="136"/>
      <c r="G15" s="136"/>
      <c r="H15" s="136"/>
      <c r="I15" s="136"/>
      <c r="J15" s="136"/>
      <c r="K15" s="136"/>
      <c r="L15" s="136"/>
      <c r="M15" s="136"/>
      <c r="N15" s="136"/>
      <c r="O15" s="136"/>
      <c r="P15" s="136"/>
      <c r="Q15" s="136"/>
      <c r="R15" s="136"/>
      <c r="S15" s="136"/>
      <c r="T15" s="136"/>
      <c r="U15" s="136"/>
      <c r="V15" s="136"/>
      <c r="W15" s="136"/>
      <c r="X15" s="136"/>
    </row>
    <row r="16" spans="5:24" ht="16.5">
      <c r="E16" s="136"/>
      <c r="F16" s="136"/>
      <c r="G16" s="136"/>
      <c r="H16" s="136"/>
      <c r="I16" s="136"/>
      <c r="J16" s="136"/>
      <c r="K16" s="136"/>
      <c r="L16" s="136"/>
      <c r="M16" s="136"/>
      <c r="N16" s="136"/>
      <c r="O16" s="136"/>
      <c r="P16" s="136"/>
      <c r="Q16" s="136"/>
      <c r="R16" s="136"/>
      <c r="S16" s="136"/>
      <c r="T16" s="136"/>
      <c r="U16" s="136"/>
      <c r="V16" s="136"/>
      <c r="W16" s="136"/>
      <c r="X16" s="136"/>
    </row>
    <row r="17" spans="5:24" ht="17.25" customHeight="1">
      <c r="E17" s="136"/>
      <c r="F17" s="136"/>
      <c r="G17" s="136"/>
      <c r="H17" s="136"/>
      <c r="I17" s="136"/>
      <c r="J17" s="136"/>
      <c r="K17" s="136"/>
      <c r="L17" s="136"/>
      <c r="M17" s="136"/>
      <c r="N17" s="136"/>
      <c r="O17" s="136"/>
      <c r="P17" s="136"/>
      <c r="Q17" s="136"/>
      <c r="R17" s="136"/>
      <c r="S17" s="136"/>
      <c r="T17" s="136"/>
      <c r="U17" s="136"/>
      <c r="V17" s="136"/>
      <c r="W17" s="136"/>
      <c r="X17" s="136"/>
    </row>
    <row r="18" spans="5:24" ht="17.25" customHeight="1">
      <c r="E18" s="1"/>
      <c r="F18" s="1"/>
      <c r="G18" s="1"/>
      <c r="H18" s="1"/>
      <c r="I18" s="1"/>
      <c r="J18" s="1"/>
      <c r="K18" s="1"/>
      <c r="L18" s="1"/>
      <c r="M18" s="1"/>
      <c r="N18" s="1"/>
      <c r="O18" s="1"/>
      <c r="P18" s="1"/>
      <c r="Q18" s="1"/>
      <c r="R18" s="1"/>
      <c r="S18" s="1"/>
      <c r="T18" s="1"/>
      <c r="U18" s="1"/>
      <c r="V18" s="1"/>
      <c r="W18" s="1"/>
      <c r="X18" s="1"/>
    </row>
    <row r="19" spans="5:24" ht="17.25" customHeight="1">
      <c r="E19" s="110"/>
      <c r="F19" s="110"/>
      <c r="G19" s="110"/>
      <c r="H19" s="110"/>
      <c r="I19" s="110"/>
      <c r="J19" s="110"/>
      <c r="K19" s="110"/>
      <c r="L19" s="110"/>
      <c r="M19" s="110"/>
      <c r="N19" s="110"/>
      <c r="O19" s="110"/>
      <c r="P19" s="110"/>
      <c r="Q19" s="110"/>
      <c r="R19" s="110"/>
      <c r="S19" s="110"/>
      <c r="T19" s="110"/>
      <c r="U19" s="110"/>
      <c r="V19" s="110"/>
      <c r="W19" s="110"/>
      <c r="X19" s="111"/>
    </row>
    <row r="20" spans="5:24" ht="17.25" customHeight="1">
      <c r="E20" s="110"/>
      <c r="F20" s="110"/>
      <c r="G20" s="110"/>
      <c r="H20" s="110"/>
      <c r="I20" s="110"/>
      <c r="J20" s="110"/>
      <c r="K20" s="110"/>
      <c r="L20" s="110"/>
      <c r="M20" s="110"/>
      <c r="N20" s="110"/>
      <c r="O20" s="110"/>
      <c r="P20" s="110"/>
      <c r="Q20" s="110"/>
      <c r="R20" s="110"/>
      <c r="S20" s="110"/>
      <c r="T20" s="110"/>
      <c r="U20" s="110"/>
      <c r="V20" s="110"/>
      <c r="W20" s="110"/>
      <c r="X20" s="111"/>
    </row>
    <row r="22" spans="5:24" ht="17.25" customHeight="1">
      <c r="F22" s="133" t="s">
        <v>691</v>
      </c>
      <c r="G22" s="133"/>
      <c r="H22" s="133"/>
      <c r="I22" s="133"/>
      <c r="J22" s="133"/>
      <c r="K22" s="133"/>
      <c r="L22" s="132" t="s">
        <v>692</v>
      </c>
      <c r="M22" s="132"/>
      <c r="N22" s="132"/>
      <c r="O22" s="132"/>
      <c r="P22" s="132"/>
      <c r="Q22" s="132"/>
      <c r="R22" s="132"/>
      <c r="S22" s="132"/>
      <c r="T22" s="132"/>
      <c r="U22" s="132"/>
      <c r="V22" s="132"/>
    </row>
    <row r="23" spans="5:24" ht="17.25" customHeight="1">
      <c r="F23" s="133"/>
      <c r="G23" s="133"/>
      <c r="H23" s="133"/>
      <c r="I23" s="133"/>
      <c r="J23" s="133"/>
      <c r="K23" s="133"/>
      <c r="L23" s="132"/>
      <c r="M23" s="132"/>
      <c r="N23" s="132"/>
      <c r="O23" s="132"/>
      <c r="P23" s="132"/>
      <c r="Q23" s="132"/>
      <c r="R23" s="132"/>
      <c r="S23" s="132"/>
      <c r="T23" s="132"/>
      <c r="U23" s="132"/>
      <c r="V23" s="132"/>
    </row>
    <row r="24" spans="5:24" ht="16.5">
      <c r="F24" s="133"/>
      <c r="G24" s="133"/>
      <c r="H24" s="133"/>
      <c r="I24" s="133"/>
      <c r="J24" s="133"/>
      <c r="K24" s="133"/>
      <c r="L24" s="132"/>
      <c r="M24" s="132"/>
      <c r="N24" s="132"/>
      <c r="O24" s="132"/>
      <c r="P24" s="132"/>
      <c r="Q24" s="132"/>
      <c r="R24" s="132"/>
      <c r="S24" s="132"/>
      <c r="T24" s="132"/>
      <c r="U24" s="132"/>
      <c r="V24" s="132"/>
    </row>
    <row r="25" spans="5:24" ht="16.5">
      <c r="F25" s="133" t="s">
        <v>693</v>
      </c>
      <c r="G25" s="133"/>
      <c r="H25" s="133"/>
      <c r="I25" s="133"/>
      <c r="J25" s="133"/>
      <c r="K25" s="133"/>
      <c r="L25" s="132" t="s">
        <v>694</v>
      </c>
      <c r="M25" s="132"/>
      <c r="N25" s="132"/>
      <c r="O25" s="132"/>
      <c r="P25" s="132"/>
      <c r="Q25" s="132"/>
      <c r="R25" s="132"/>
      <c r="S25" s="132"/>
      <c r="T25" s="132"/>
      <c r="U25" s="132"/>
      <c r="V25" s="132"/>
    </row>
    <row r="26" spans="5:24" ht="16.5">
      <c r="F26" s="133"/>
      <c r="G26" s="133"/>
      <c r="H26" s="133"/>
      <c r="I26" s="133"/>
      <c r="J26" s="133"/>
      <c r="K26" s="133"/>
      <c r="L26" s="132"/>
      <c r="M26" s="132"/>
      <c r="N26" s="132"/>
      <c r="O26" s="132"/>
      <c r="P26" s="132"/>
      <c r="Q26" s="132"/>
      <c r="R26" s="132"/>
      <c r="S26" s="132"/>
      <c r="T26" s="132"/>
      <c r="U26" s="132"/>
      <c r="V26" s="132"/>
    </row>
    <row r="27" spans="5:24" ht="16.5">
      <c r="F27" s="133"/>
      <c r="G27" s="133"/>
      <c r="H27" s="133"/>
      <c r="I27" s="133"/>
      <c r="J27" s="133"/>
      <c r="K27" s="133"/>
      <c r="L27" s="132"/>
      <c r="M27" s="132"/>
      <c r="N27" s="132"/>
      <c r="O27" s="132"/>
      <c r="P27" s="132"/>
      <c r="Q27" s="132"/>
      <c r="R27" s="132"/>
      <c r="S27" s="132"/>
      <c r="T27" s="132"/>
      <c r="U27" s="132"/>
      <c r="V27" s="132"/>
    </row>
    <row r="28" spans="5:24" ht="17.25" customHeight="1">
      <c r="F28" s="133" t="s">
        <v>695</v>
      </c>
      <c r="G28" s="133"/>
      <c r="H28" s="133"/>
      <c r="I28" s="133"/>
      <c r="J28" s="133"/>
      <c r="K28" s="133"/>
      <c r="L28" s="132" t="s">
        <v>696</v>
      </c>
      <c r="M28" s="132"/>
      <c r="N28" s="132"/>
      <c r="O28" s="132"/>
      <c r="P28" s="132"/>
      <c r="Q28" s="132"/>
      <c r="R28" s="132"/>
      <c r="S28" s="132"/>
      <c r="T28" s="132"/>
      <c r="U28" s="132"/>
      <c r="V28" s="132"/>
    </row>
    <row r="29" spans="5:24" ht="17.25" customHeight="1">
      <c r="F29" s="133"/>
      <c r="G29" s="133"/>
      <c r="H29" s="133"/>
      <c r="I29" s="133"/>
      <c r="J29" s="133"/>
      <c r="K29" s="133"/>
      <c r="L29" s="132"/>
      <c r="M29" s="132"/>
      <c r="N29" s="132"/>
      <c r="O29" s="132"/>
      <c r="P29" s="132"/>
      <c r="Q29" s="132"/>
      <c r="R29" s="132"/>
      <c r="S29" s="132"/>
      <c r="T29" s="132"/>
      <c r="U29" s="132"/>
      <c r="V29" s="132"/>
    </row>
    <row r="30" spans="5:24" ht="17.25" customHeight="1">
      <c r="F30" s="133"/>
      <c r="G30" s="133"/>
      <c r="H30" s="133"/>
      <c r="I30" s="133"/>
      <c r="J30" s="133"/>
      <c r="K30" s="133"/>
      <c r="L30" s="132"/>
      <c r="M30" s="132"/>
      <c r="N30" s="132"/>
      <c r="O30" s="132"/>
      <c r="P30" s="132"/>
      <c r="Q30" s="132"/>
      <c r="R30" s="132"/>
      <c r="S30" s="132"/>
      <c r="T30" s="132"/>
      <c r="U30" s="132"/>
      <c r="V30" s="132"/>
    </row>
    <row r="31" spans="5:24" ht="17.25" customHeight="1">
      <c r="F31" s="131" t="s">
        <v>697</v>
      </c>
      <c r="G31" s="131"/>
      <c r="H31" s="131"/>
      <c r="I31" s="131"/>
      <c r="J31" s="131"/>
      <c r="K31" s="131"/>
      <c r="L31" s="134">
        <v>46094</v>
      </c>
      <c r="M31" s="134"/>
      <c r="N31" s="134"/>
      <c r="O31" s="134"/>
      <c r="P31" s="134"/>
      <c r="Q31" s="134"/>
      <c r="R31" s="134"/>
      <c r="S31" s="134"/>
      <c r="T31" s="134"/>
      <c r="U31" s="134"/>
      <c r="V31" s="134"/>
    </row>
    <row r="32" spans="5:24" ht="17.25" customHeight="1">
      <c r="F32" s="131"/>
      <c r="G32" s="131"/>
      <c r="H32" s="131"/>
      <c r="I32" s="131"/>
      <c r="J32" s="131"/>
      <c r="K32" s="131"/>
      <c r="L32" s="134"/>
      <c r="M32" s="134"/>
      <c r="N32" s="134"/>
      <c r="O32" s="134"/>
      <c r="P32" s="134"/>
      <c r="Q32" s="134"/>
      <c r="R32" s="134"/>
      <c r="S32" s="134"/>
      <c r="T32" s="134"/>
      <c r="U32" s="134"/>
      <c r="V32" s="134"/>
    </row>
    <row r="33" spans="6:22" ht="17.25" customHeight="1">
      <c r="F33" s="131"/>
      <c r="G33" s="131"/>
      <c r="H33" s="131"/>
      <c r="I33" s="131"/>
      <c r="J33" s="131"/>
      <c r="K33" s="131"/>
      <c r="L33" s="134"/>
      <c r="M33" s="134"/>
      <c r="N33" s="134"/>
      <c r="O33" s="134"/>
      <c r="P33" s="134"/>
      <c r="Q33" s="134"/>
      <c r="R33" s="134"/>
      <c r="S33" s="134"/>
      <c r="T33" s="134"/>
      <c r="U33" s="134"/>
      <c r="V33" s="134"/>
    </row>
    <row r="34" spans="6:22" ht="17.25" customHeight="1">
      <c r="F34" s="131" t="s">
        <v>698</v>
      </c>
      <c r="G34" s="131"/>
      <c r="H34" s="131"/>
      <c r="I34" s="131"/>
      <c r="J34" s="131"/>
      <c r="K34" s="131"/>
      <c r="L34" s="132" t="s">
        <v>699</v>
      </c>
      <c r="M34" s="132"/>
      <c r="N34" s="132"/>
      <c r="O34" s="132"/>
      <c r="P34" s="132"/>
      <c r="Q34" s="132"/>
      <c r="R34" s="132"/>
      <c r="S34" s="132"/>
      <c r="T34" s="132"/>
      <c r="U34" s="132"/>
      <c r="V34" s="132"/>
    </row>
    <row r="35" spans="6:22" ht="17.25" customHeight="1">
      <c r="F35" s="131"/>
      <c r="G35" s="131"/>
      <c r="H35" s="131"/>
      <c r="I35" s="131"/>
      <c r="J35" s="131"/>
      <c r="K35" s="131"/>
      <c r="L35" s="132"/>
      <c r="M35" s="132"/>
      <c r="N35" s="132"/>
      <c r="O35" s="132"/>
      <c r="P35" s="132"/>
      <c r="Q35" s="132"/>
      <c r="R35" s="132"/>
      <c r="S35" s="132"/>
      <c r="T35" s="132"/>
      <c r="U35" s="132"/>
      <c r="V35" s="132"/>
    </row>
    <row r="36" spans="6:22" ht="21" customHeight="1">
      <c r="F36" s="131"/>
      <c r="G36" s="131"/>
      <c r="H36" s="131"/>
      <c r="I36" s="131"/>
      <c r="J36" s="131"/>
      <c r="K36" s="131"/>
      <c r="L36" s="132"/>
      <c r="M36" s="132"/>
      <c r="N36" s="132"/>
      <c r="O36" s="132"/>
      <c r="P36" s="132"/>
      <c r="Q36" s="132"/>
      <c r="R36" s="132"/>
      <c r="S36" s="132"/>
      <c r="T36" s="132"/>
      <c r="U36" s="132"/>
      <c r="V36" s="132"/>
    </row>
    <row r="37" spans="6:22" ht="21" customHeight="1">
      <c r="F37" s="131" t="s">
        <v>700</v>
      </c>
      <c r="G37" s="131"/>
      <c r="H37" s="131"/>
      <c r="I37" s="131"/>
      <c r="J37" s="131"/>
      <c r="K37" s="131"/>
      <c r="L37" s="132" t="s">
        <v>701</v>
      </c>
      <c r="M37" s="132"/>
      <c r="N37" s="132"/>
      <c r="O37" s="132"/>
      <c r="P37" s="132"/>
      <c r="Q37" s="132"/>
      <c r="R37" s="132"/>
      <c r="S37" s="132"/>
      <c r="T37" s="132"/>
      <c r="U37" s="132"/>
      <c r="V37" s="132"/>
    </row>
    <row r="38" spans="6:22" ht="17.25" customHeight="1">
      <c r="F38" s="131"/>
      <c r="G38" s="131"/>
      <c r="H38" s="131"/>
      <c r="I38" s="131"/>
      <c r="J38" s="131"/>
      <c r="K38" s="131"/>
      <c r="L38" s="132"/>
      <c r="M38" s="132"/>
      <c r="N38" s="132"/>
      <c r="O38" s="132"/>
      <c r="P38" s="132"/>
      <c r="Q38" s="132"/>
      <c r="R38" s="132"/>
      <c r="S38" s="132"/>
      <c r="T38" s="132"/>
      <c r="U38" s="132"/>
      <c r="V38" s="132"/>
    </row>
    <row r="39" spans="6:22" ht="17.25" customHeight="1">
      <c r="F39" s="131"/>
      <c r="G39" s="131"/>
      <c r="H39" s="131"/>
      <c r="I39" s="131"/>
      <c r="J39" s="131"/>
      <c r="K39" s="131"/>
      <c r="L39" s="132"/>
      <c r="M39" s="132"/>
      <c r="N39" s="132"/>
      <c r="O39" s="132"/>
      <c r="P39" s="132"/>
      <c r="Q39" s="132"/>
      <c r="R39" s="132"/>
      <c r="S39" s="132"/>
      <c r="T39" s="132"/>
      <c r="U39" s="132"/>
      <c r="V39" s="132"/>
    </row>
    <row r="40" spans="6:22" ht="17.25" customHeight="1">
      <c r="F40" s="131" t="s">
        <v>702</v>
      </c>
      <c r="G40" s="131"/>
      <c r="H40" s="131"/>
      <c r="I40" s="131"/>
      <c r="J40" s="131"/>
      <c r="K40" s="131"/>
      <c r="L40" s="132" t="s">
        <v>703</v>
      </c>
      <c r="M40" s="132"/>
      <c r="N40" s="132"/>
      <c r="O40" s="132"/>
      <c r="P40" s="132"/>
      <c r="Q40" s="132"/>
      <c r="R40" s="132"/>
      <c r="S40" s="132"/>
      <c r="T40" s="132"/>
      <c r="U40" s="132"/>
      <c r="V40" s="132"/>
    </row>
    <row r="41" spans="6:22" ht="17.25" customHeight="1">
      <c r="F41" s="131"/>
      <c r="G41" s="131"/>
      <c r="H41" s="131"/>
      <c r="I41" s="131"/>
      <c r="J41" s="131"/>
      <c r="K41" s="131"/>
      <c r="L41" s="132"/>
      <c r="M41" s="132"/>
      <c r="N41" s="132"/>
      <c r="O41" s="132"/>
      <c r="P41" s="132"/>
      <c r="Q41" s="132"/>
      <c r="R41" s="132"/>
      <c r="S41" s="132"/>
      <c r="T41" s="132"/>
      <c r="U41" s="132"/>
      <c r="V41" s="132"/>
    </row>
    <row r="42" spans="6:22" ht="17.25" customHeight="1">
      <c r="F42" s="131"/>
      <c r="G42" s="131"/>
      <c r="H42" s="131"/>
      <c r="I42" s="131"/>
      <c r="J42" s="131"/>
      <c r="K42" s="131"/>
      <c r="L42" s="132"/>
      <c r="M42" s="132"/>
      <c r="N42" s="132"/>
      <c r="O42" s="132"/>
      <c r="P42" s="132"/>
      <c r="Q42" s="132"/>
      <c r="R42" s="132"/>
      <c r="S42" s="132"/>
      <c r="T42" s="132"/>
      <c r="U42" s="132"/>
      <c r="V42" s="132"/>
    </row>
    <row r="43" spans="6:22" ht="17.25" customHeight="1">
      <c r="F43" s="131" t="s">
        <v>704</v>
      </c>
      <c r="G43" s="131"/>
      <c r="H43" s="131"/>
      <c r="I43" s="131"/>
      <c r="J43" s="131"/>
      <c r="K43" s="131"/>
      <c r="L43" s="132" t="s">
        <v>705</v>
      </c>
      <c r="M43" s="132"/>
      <c r="N43" s="132"/>
      <c r="O43" s="132"/>
      <c r="P43" s="132"/>
      <c r="Q43" s="132"/>
      <c r="R43" s="132"/>
      <c r="S43" s="132"/>
      <c r="T43" s="132"/>
      <c r="U43" s="132"/>
      <c r="V43" s="132"/>
    </row>
    <row r="44" spans="6:22" ht="17.25" customHeight="1">
      <c r="F44" s="131"/>
      <c r="G44" s="131"/>
      <c r="H44" s="131"/>
      <c r="I44" s="131"/>
      <c r="J44" s="131"/>
      <c r="K44" s="131"/>
      <c r="L44" s="132"/>
      <c r="M44" s="132"/>
      <c r="N44" s="132"/>
      <c r="O44" s="132"/>
      <c r="P44" s="132"/>
      <c r="Q44" s="132"/>
      <c r="R44" s="132"/>
      <c r="S44" s="132"/>
      <c r="T44" s="132"/>
      <c r="U44" s="132"/>
      <c r="V44" s="132"/>
    </row>
    <row r="45" spans="6:22" ht="17.25" customHeight="1">
      <c r="F45" s="131"/>
      <c r="G45" s="131"/>
      <c r="H45" s="131"/>
      <c r="I45" s="131"/>
      <c r="J45" s="131"/>
      <c r="K45" s="131"/>
      <c r="L45" s="132"/>
      <c r="M45" s="132"/>
      <c r="N45" s="132"/>
      <c r="O45" s="132"/>
      <c r="P45" s="132"/>
      <c r="Q45" s="132"/>
      <c r="R45" s="132"/>
      <c r="S45" s="132"/>
      <c r="T45" s="132"/>
      <c r="U45" s="132"/>
      <c r="V45" s="132"/>
    </row>
    <row r="75" spans="8:10" ht="16.5">
      <c r="J75" s="13" t="s">
        <v>16</v>
      </c>
    </row>
    <row r="77" spans="8:10" ht="16.5">
      <c r="H77" s="13"/>
    </row>
    <row r="78" spans="8:10" ht="16.5">
      <c r="H78" s="13"/>
    </row>
    <row r="79" spans="8:10" ht="16.5">
      <c r="H79" s="13"/>
    </row>
    <row r="80" spans="8:10" ht="16.5">
      <c r="H80" s="13"/>
    </row>
    <row r="83" spans="4:4" ht="16.5">
      <c r="D83" s="8"/>
    </row>
    <row r="98" spans="4:8" ht="16.5">
      <c r="E98" s="112"/>
      <c r="G98" s="112"/>
    </row>
    <row r="99" spans="4:8" ht="16.5">
      <c r="E99" s="112"/>
      <c r="G99" s="112"/>
      <c r="H99" s="113"/>
    </row>
    <row r="100" spans="4:8" ht="16.5">
      <c r="H100" s="114"/>
    </row>
    <row r="101" spans="4:8" ht="16.5">
      <c r="H101" s="115"/>
    </row>
    <row r="107" spans="4:8" ht="16.5">
      <c r="H107" s="13"/>
    </row>
    <row r="108" spans="4:8" ht="16.5">
      <c r="D108" s="8"/>
      <c r="G108" s="116"/>
    </row>
    <row r="109" spans="4:8" ht="16.5">
      <c r="D109" s="8"/>
    </row>
    <row r="110" spans="4:8" ht="16.5">
      <c r="D110" s="8"/>
      <c r="G110" s="116"/>
    </row>
    <row r="111" spans="4:8" ht="16.5">
      <c r="D111" s="8"/>
    </row>
    <row r="112" spans="4:8" ht="16.5">
      <c r="D112" s="8"/>
      <c r="G112" s="116"/>
      <c r="H112" s="117"/>
    </row>
    <row r="113" spans="4:8" ht="16.5">
      <c r="D113" s="8"/>
    </row>
    <row r="114" spans="4:8" ht="16.5">
      <c r="D114" s="8"/>
      <c r="G114" s="116"/>
    </row>
    <row r="115" spans="4:8" ht="16.5">
      <c r="D115" s="8"/>
    </row>
    <row r="119" spans="4:8" ht="16.5">
      <c r="D119" s="8"/>
    </row>
    <row r="124" spans="4:8" ht="16.5">
      <c r="D124" s="8"/>
    </row>
    <row r="127" spans="4:8" ht="16.5">
      <c r="H127" s="13"/>
    </row>
    <row r="128" spans="4:8" ht="16.5">
      <c r="H128" s="13"/>
    </row>
    <row r="130" spans="8:11" ht="16.5">
      <c r="H130" s="13"/>
    </row>
    <row r="140" spans="8:11" ht="16.5">
      <c r="K140" s="8"/>
    </row>
    <row r="157" spans="5:8" ht="16.5">
      <c r="H157" s="13"/>
    </row>
    <row r="158" spans="5:8" ht="16.5">
      <c r="H158" s="13"/>
    </row>
    <row r="159" spans="5:8" ht="16.5">
      <c r="E159" s="118"/>
    </row>
    <row r="160" spans="5:8" ht="16.5">
      <c r="G160" s="118"/>
      <c r="H160" s="119"/>
    </row>
    <row r="161" spans="7:8" ht="16.5">
      <c r="H161" s="13"/>
    </row>
    <row r="163" spans="7:8" ht="16.5">
      <c r="G163" s="116"/>
      <c r="H163" s="117"/>
    </row>
    <row r="164" spans="7:8" ht="16.5">
      <c r="G164" s="116"/>
      <c r="H164" s="117"/>
    </row>
    <row r="165" spans="7:8" ht="16.5">
      <c r="G165" s="116"/>
      <c r="H165" s="117"/>
    </row>
    <row r="166" spans="7:8" ht="16.5">
      <c r="G166" s="116"/>
      <c r="H166" s="117"/>
    </row>
    <row r="167" spans="7:8" ht="16.5">
      <c r="G167" s="116"/>
      <c r="H167" s="117"/>
    </row>
    <row r="168" spans="7:8" ht="16.5">
      <c r="G168" s="116"/>
      <c r="H168" s="117"/>
    </row>
    <row r="169" spans="7:8" ht="16.5">
      <c r="G169" s="116"/>
      <c r="H169" s="117"/>
    </row>
    <row r="170" spans="7:8" ht="16.5">
      <c r="G170" s="116"/>
      <c r="H170" s="117"/>
    </row>
    <row r="172" spans="7:8" ht="16.5">
      <c r="G172" s="120"/>
    </row>
    <row r="173" spans="7:8" ht="16.5">
      <c r="G173" s="120"/>
    </row>
    <row r="174" spans="7:8" ht="16.5">
      <c r="G174" s="120"/>
    </row>
    <row r="176" spans="7:8" ht="16.5">
      <c r="G176" s="120"/>
      <c r="H176" s="121"/>
    </row>
    <row r="177" spans="6:11" ht="16.5">
      <c r="J177" s="13" t="str">
        <f t="shared" ref="J177:J188" si="0">IF(H177="","",IF(H177=F177,"Pass","Fail"))</f>
        <v/>
      </c>
    </row>
    <row r="178" spans="6:11" ht="16.5">
      <c r="J178" s="13" t="str">
        <f t="shared" si="0"/>
        <v/>
      </c>
    </row>
    <row r="179" spans="6:11" ht="16.5">
      <c r="J179" s="13" t="str">
        <f t="shared" si="0"/>
        <v/>
      </c>
    </row>
    <row r="180" spans="6:11" ht="16.5">
      <c r="J180" s="13" t="str">
        <f t="shared" si="0"/>
        <v/>
      </c>
    </row>
    <row r="181" spans="6:11" ht="16.5">
      <c r="J181" s="13" t="str">
        <f t="shared" si="0"/>
        <v/>
      </c>
    </row>
    <row r="182" spans="6:11" ht="16.5">
      <c r="J182" s="13" t="str">
        <f t="shared" si="0"/>
        <v/>
      </c>
    </row>
    <row r="183" spans="6:11" ht="16.5">
      <c r="H183" s="122"/>
      <c r="J183" s="13" t="str">
        <f t="shared" si="0"/>
        <v/>
      </c>
    </row>
    <row r="184" spans="6:11" ht="16.5">
      <c r="J184" s="13" t="str">
        <f t="shared" si="0"/>
        <v/>
      </c>
    </row>
    <row r="185" spans="6:11" ht="16.5">
      <c r="F185" s="13" t="s">
        <v>706</v>
      </c>
      <c r="H185" s="108" t="s">
        <v>706</v>
      </c>
      <c r="J185" s="13" t="str">
        <f t="shared" si="0"/>
        <v>Pass</v>
      </c>
    </row>
    <row r="186" spans="6:11" ht="16.5">
      <c r="J186" s="13" t="str">
        <f t="shared" si="0"/>
        <v/>
      </c>
    </row>
    <row r="187" spans="6:11" ht="16.5">
      <c r="J187" s="13" t="str">
        <f t="shared" si="0"/>
        <v/>
      </c>
    </row>
    <row r="188" spans="6:11" ht="16.5">
      <c r="J188" s="13" t="str">
        <f t="shared" si="0"/>
        <v/>
      </c>
    </row>
    <row r="189" spans="6:11" ht="16.5">
      <c r="K189" s="8" t="s">
        <v>707</v>
      </c>
    </row>
    <row r="190" spans="6:11" ht="16.5">
      <c r="K190" s="8" t="s">
        <v>707</v>
      </c>
    </row>
    <row r="191" spans="6:11" ht="16.5">
      <c r="J191" s="13" t="str">
        <f>IF(H191="","",IF(H191=F191,"Pass","Fail"))</f>
        <v/>
      </c>
    </row>
    <row r="192" spans="6:11" ht="16.5">
      <c r="J192" s="13" t="str">
        <f>IF(H192="","",IF(H192=F192,"Pass","Fail"))</f>
        <v/>
      </c>
    </row>
    <row r="193" spans="5:10" ht="16.5">
      <c r="H193" s="119">
        <v>1</v>
      </c>
      <c r="J193" s="13" t="str">
        <f>IF(H193="","",IF(H193=F193,"Pass","Fail"))</f>
        <v>Fail</v>
      </c>
    </row>
    <row r="194" spans="5:10" ht="16.5">
      <c r="J194" s="13" t="str">
        <f>IF(H194="","",IF(H194=F194,"Pass","Fail"))</f>
        <v/>
      </c>
    </row>
    <row r="195" spans="5:10" ht="16.5">
      <c r="J195" s="13" t="str">
        <f>IF(H195="","",IF(H195=F195,"Pass","Fail"))</f>
        <v/>
      </c>
    </row>
    <row r="198" spans="5:10" ht="16.5">
      <c r="G198" s="120"/>
    </row>
    <row r="199" spans="5:10" ht="16.5">
      <c r="G199" s="120"/>
    </row>
    <row r="200" spans="5:10" ht="16.5">
      <c r="H200" s="13"/>
    </row>
    <row r="201" spans="5:10" ht="16.5">
      <c r="H201" s="13"/>
    </row>
    <row r="202" spans="5:10" ht="16.5">
      <c r="H202" s="13"/>
    </row>
    <row r="203" spans="5:10" ht="16.5">
      <c r="G203" s="120"/>
    </row>
    <row r="205" spans="5:10" ht="16.5">
      <c r="E205" s="116"/>
      <c r="G205" s="116"/>
    </row>
    <row r="215" spans="5:8" ht="16.5">
      <c r="H215" s="119"/>
    </row>
    <row r="220" spans="5:8" ht="16.5">
      <c r="E220" s="116"/>
      <c r="F220" s="116"/>
      <c r="G220" s="116"/>
    </row>
    <row r="221" spans="5:8" ht="16.5">
      <c r="E221" s="116"/>
      <c r="F221" s="116"/>
      <c r="G221" s="116"/>
    </row>
    <row r="222" spans="5:8" ht="16.5">
      <c r="E222" s="116"/>
      <c r="F222" s="116"/>
      <c r="G222" s="116"/>
    </row>
    <row r="223" spans="5:8" ht="16.5">
      <c r="E223" s="116"/>
      <c r="F223" s="116"/>
      <c r="G223" s="116"/>
    </row>
    <row r="224" spans="5:8" ht="16.5">
      <c r="H224" s="119"/>
    </row>
    <row r="225" spans="5:9" ht="16.5">
      <c r="H225" s="119"/>
    </row>
    <row r="226" spans="5:9" ht="16.5">
      <c r="H226" s="119"/>
    </row>
    <row r="227" spans="5:9" ht="16.5">
      <c r="H227" s="119"/>
    </row>
    <row r="228" spans="5:9" ht="16.5">
      <c r="H228" s="119"/>
    </row>
    <row r="229" spans="5:9" ht="16.5">
      <c r="H229" s="119"/>
    </row>
    <row r="230" spans="5:9" ht="16.5">
      <c r="I230" s="13" t="s">
        <v>83</v>
      </c>
    </row>
    <row r="231" spans="5:9" ht="16.5">
      <c r="H231" s="119"/>
    </row>
    <row r="232" spans="5:9" ht="16.5">
      <c r="E232" s="116"/>
      <c r="F232" s="116"/>
      <c r="G232" s="116"/>
    </row>
    <row r="233" spans="5:9" ht="16.5">
      <c r="E233" s="116"/>
      <c r="F233" s="116"/>
      <c r="G233" s="116"/>
    </row>
    <row r="234" spans="5:9" ht="16.5">
      <c r="G234" s="116"/>
      <c r="H234" s="117"/>
    </row>
    <row r="235" spans="5:9" ht="16.5">
      <c r="G235" s="116"/>
      <c r="H235" s="117"/>
    </row>
    <row r="236" spans="5:9" ht="16.5">
      <c r="G236" s="116"/>
      <c r="H236" s="117"/>
    </row>
    <row r="237" spans="5:9" ht="16.5">
      <c r="G237" s="116"/>
      <c r="H237" s="117"/>
    </row>
    <row r="238" spans="5:9" ht="16.5">
      <c r="G238" s="116"/>
      <c r="H238" s="117"/>
    </row>
    <row r="239" spans="5:9" ht="16.5">
      <c r="G239" s="116"/>
      <c r="H239" s="117"/>
    </row>
    <row r="240" spans="5:9" ht="16.5">
      <c r="G240" s="116"/>
      <c r="H240" s="117"/>
    </row>
    <row r="241" spans="4:10" ht="16.5">
      <c r="G241" s="116"/>
      <c r="H241" s="117"/>
    </row>
    <row r="242" spans="4:10" ht="16.5">
      <c r="G242" s="116"/>
      <c r="H242" s="117"/>
    </row>
    <row r="243" spans="4:10" ht="16.5">
      <c r="G243" s="116"/>
      <c r="H243" s="117"/>
    </row>
    <row r="244" spans="4:10" ht="16.5">
      <c r="H244" s="13"/>
    </row>
    <row r="245" spans="4:10" ht="16.5">
      <c r="H245" s="13"/>
    </row>
    <row r="246" spans="4:10" ht="16.5">
      <c r="D246" s="13" t="s">
        <v>708</v>
      </c>
      <c r="J246" s="13" t="str">
        <f>IF(H246="","",IF(H246=F246,"Pass","Fail"))</f>
        <v/>
      </c>
    </row>
    <row r="247" spans="4:10" ht="16.5">
      <c r="J247" s="13" t="str">
        <f>IF(H247="","",IF(H247=F247,"Pass","Fail"))</f>
        <v/>
      </c>
    </row>
    <row r="248" spans="4:10" ht="16.5">
      <c r="H248" s="119"/>
    </row>
    <row r="249" spans="4:10" ht="16.5">
      <c r="J249" s="13" t="str">
        <f t="shared" ref="J249:J263" si="1">IF(H249="","",IF(H249=F249,"Pass","Fail"))</f>
        <v/>
      </c>
    </row>
    <row r="250" spans="4:10" ht="16.5">
      <c r="J250" s="13" t="str">
        <f t="shared" si="1"/>
        <v/>
      </c>
    </row>
    <row r="251" spans="4:10" ht="16.5">
      <c r="J251" s="13" t="str">
        <f t="shared" si="1"/>
        <v/>
      </c>
    </row>
    <row r="252" spans="4:10" ht="16.5">
      <c r="J252" s="13" t="str">
        <f t="shared" si="1"/>
        <v/>
      </c>
    </row>
    <row r="253" spans="4:10" ht="16.5">
      <c r="D253" s="13" t="s">
        <v>491</v>
      </c>
      <c r="J253" s="13" t="str">
        <f t="shared" si="1"/>
        <v/>
      </c>
    </row>
    <row r="254" spans="4:10" ht="16.5">
      <c r="J254" s="13" t="str">
        <f t="shared" si="1"/>
        <v/>
      </c>
    </row>
    <row r="255" spans="4:10" ht="16.5">
      <c r="J255" s="13" t="str">
        <f t="shared" si="1"/>
        <v/>
      </c>
    </row>
    <row r="256" spans="4:10" ht="16.5">
      <c r="D256" s="13" t="s">
        <v>709</v>
      </c>
      <c r="J256" s="13" t="str">
        <f t="shared" si="1"/>
        <v/>
      </c>
    </row>
    <row r="257" spans="4:11" ht="16.5">
      <c r="D257" s="13" t="s">
        <v>496</v>
      </c>
      <c r="F257" s="13" t="s">
        <v>497</v>
      </c>
      <c r="H257" s="108" t="s">
        <v>497</v>
      </c>
      <c r="J257" s="13" t="str">
        <f t="shared" si="1"/>
        <v>Pass</v>
      </c>
    </row>
    <row r="258" spans="4:11" ht="16.5">
      <c r="D258" s="13" t="s">
        <v>710</v>
      </c>
      <c r="J258" s="13" t="str">
        <f t="shared" si="1"/>
        <v/>
      </c>
    </row>
    <row r="259" spans="4:11" ht="16.5">
      <c r="J259" s="13" t="str">
        <f t="shared" si="1"/>
        <v/>
      </c>
    </row>
    <row r="260" spans="4:11" ht="16.5">
      <c r="D260" s="13" t="s">
        <v>711</v>
      </c>
      <c r="J260" s="13" t="str">
        <f t="shared" si="1"/>
        <v/>
      </c>
    </row>
    <row r="261" spans="4:11" ht="16.5">
      <c r="D261" s="13" t="s">
        <v>712</v>
      </c>
      <c r="J261" s="13" t="str">
        <f t="shared" si="1"/>
        <v/>
      </c>
    </row>
    <row r="262" spans="4:11" ht="16.5">
      <c r="D262" s="13" t="s">
        <v>713</v>
      </c>
      <c r="J262" s="13" t="str">
        <f t="shared" si="1"/>
        <v/>
      </c>
    </row>
    <row r="263" spans="4:11" ht="16.5">
      <c r="D263" s="13" t="s">
        <v>506</v>
      </c>
      <c r="J263" s="13" t="str">
        <f t="shared" si="1"/>
        <v/>
      </c>
    </row>
    <row r="264" spans="4:11" ht="16.5">
      <c r="D264" s="13" t="s">
        <v>511</v>
      </c>
    </row>
    <row r="265" spans="4:11" ht="16.5">
      <c r="D265" s="13" t="s">
        <v>513</v>
      </c>
    </row>
    <row r="266" spans="4:11" ht="16.5">
      <c r="J266" s="13" t="str">
        <f>IF(H266="","",IF(H266=F266,"Pass","Fail"))</f>
        <v/>
      </c>
    </row>
    <row r="267" spans="4:11" ht="16.5">
      <c r="J267" s="13" t="str">
        <f>IF(H267="","",IF(H267=F267,"Pass","Fail"))</f>
        <v/>
      </c>
    </row>
    <row r="268" spans="4:11" ht="16.5">
      <c r="D268" s="13" t="s">
        <v>714</v>
      </c>
      <c r="G268" s="116"/>
      <c r="H268" s="117"/>
      <c r="K268" s="123" t="s">
        <v>715</v>
      </c>
    </row>
    <row r="269" spans="4:11" ht="16.5">
      <c r="D269" s="13" t="s">
        <v>716</v>
      </c>
      <c r="G269" s="116"/>
      <c r="H269" s="117"/>
      <c r="K269" s="123"/>
    </row>
    <row r="270" spans="4:11" ht="16.5">
      <c r="D270" s="13" t="s">
        <v>717</v>
      </c>
      <c r="G270" s="116"/>
      <c r="H270" s="117"/>
      <c r="K270" s="123"/>
    </row>
    <row r="271" spans="4:11" ht="16.5">
      <c r="D271" s="13" t="s">
        <v>718</v>
      </c>
      <c r="G271" s="116"/>
      <c r="H271" s="117"/>
      <c r="K271" s="123"/>
    </row>
    <row r="272" spans="4:11" ht="16.5">
      <c r="D272" s="13" t="s">
        <v>719</v>
      </c>
      <c r="G272" s="116"/>
      <c r="H272" s="117"/>
      <c r="K272" s="123"/>
    </row>
    <row r="273" spans="4:11" ht="16.5">
      <c r="D273" s="13" t="s">
        <v>720</v>
      </c>
      <c r="G273" s="116"/>
      <c r="H273" s="117"/>
      <c r="K273" s="123"/>
    </row>
    <row r="274" spans="4:11" ht="16.5">
      <c r="D274" s="13" t="s">
        <v>721</v>
      </c>
      <c r="G274" s="116"/>
      <c r="H274" s="117"/>
      <c r="K274" s="123"/>
    </row>
    <row r="275" spans="4:11" ht="16.5">
      <c r="D275" s="13" t="s">
        <v>722</v>
      </c>
      <c r="G275" s="116"/>
      <c r="H275" s="117"/>
      <c r="K275" s="123"/>
    </row>
    <row r="276" spans="4:11" ht="16.5">
      <c r="D276" s="8" t="s">
        <v>723</v>
      </c>
    </row>
    <row r="277" spans="4:11" ht="16.5">
      <c r="D277" s="8" t="s">
        <v>724</v>
      </c>
    </row>
    <row r="278" spans="4:11" ht="16.5">
      <c r="D278" s="8" t="s">
        <v>725</v>
      </c>
    </row>
    <row r="279" spans="4:11" ht="16.5">
      <c r="D279" s="8" t="s">
        <v>726</v>
      </c>
    </row>
    <row r="280" spans="4:11" ht="16.5">
      <c r="D280" s="8" t="s">
        <v>727</v>
      </c>
      <c r="G280" s="116"/>
      <c r="H280" s="117"/>
      <c r="K280" s="8" t="s">
        <v>728</v>
      </c>
    </row>
    <row r="281" spans="4:11" ht="16.5">
      <c r="D281" s="8" t="s">
        <v>729</v>
      </c>
      <c r="G281" s="116"/>
      <c r="H281" s="117"/>
      <c r="K281" s="8" t="s">
        <v>730</v>
      </c>
    </row>
    <row r="282" spans="4:11" ht="16.5">
      <c r="D282" s="8" t="s">
        <v>731</v>
      </c>
      <c r="G282" s="116"/>
      <c r="H282" s="117"/>
      <c r="K282" s="8" t="s">
        <v>732</v>
      </c>
    </row>
    <row r="283" spans="4:11" ht="16.5">
      <c r="D283" s="8" t="s">
        <v>733</v>
      </c>
      <c r="G283" s="116"/>
      <c r="H283" s="117"/>
      <c r="K283" s="8" t="s">
        <v>734</v>
      </c>
    </row>
    <row r="284" spans="4:11" ht="16.5">
      <c r="D284" s="8" t="s">
        <v>735</v>
      </c>
    </row>
    <row r="285" spans="4:11" ht="16.5">
      <c r="D285" s="8" t="s">
        <v>736</v>
      </c>
    </row>
    <row r="286" spans="4:11" ht="16.5">
      <c r="D286" s="8" t="s">
        <v>737</v>
      </c>
    </row>
    <row r="287" spans="4:11" ht="16.5">
      <c r="D287" s="8" t="s">
        <v>738</v>
      </c>
    </row>
    <row r="288" spans="4:11" ht="16.5">
      <c r="D288" s="8" t="s">
        <v>728</v>
      </c>
      <c r="G288" s="116"/>
      <c r="H288" s="117"/>
    </row>
    <row r="289" spans="4:8" ht="16.5">
      <c r="D289" s="8" t="s">
        <v>730</v>
      </c>
      <c r="G289" s="116"/>
      <c r="H289" s="117"/>
    </row>
    <row r="290" spans="4:8" ht="16.5">
      <c r="D290" s="8" t="s">
        <v>732</v>
      </c>
      <c r="G290" s="116"/>
      <c r="H290" s="117"/>
    </row>
    <row r="291" spans="4:8" ht="16.5">
      <c r="D291" s="8" t="s">
        <v>734</v>
      </c>
      <c r="G291" s="116"/>
      <c r="H291" s="117"/>
    </row>
    <row r="292" spans="4:8" ht="16.5">
      <c r="H292" s="13"/>
    </row>
    <row r="293" spans="4:8" ht="16.5">
      <c r="H293" s="13"/>
    </row>
    <row r="294" spans="4:8" ht="16.5">
      <c r="H294" s="13"/>
    </row>
    <row r="295" spans="4:8" ht="16.5">
      <c r="H295" s="13"/>
    </row>
    <row r="296" spans="4:8" ht="16.5">
      <c r="H296" s="13"/>
    </row>
    <row r="297" spans="4:8" ht="16.5">
      <c r="H297" s="13"/>
    </row>
    <row r="298" spans="4:8" ht="16.5">
      <c r="H298" s="13"/>
    </row>
    <row r="299" spans="4:8" ht="16.5">
      <c r="H299" s="13"/>
    </row>
    <row r="300" spans="4:8" ht="16.5">
      <c r="H300" s="13"/>
    </row>
    <row r="301" spans="4:8" ht="16.5">
      <c r="H301" s="13"/>
    </row>
    <row r="302" spans="4:8" ht="16.5">
      <c r="H302" s="13"/>
    </row>
    <row r="303" spans="4:8" ht="16.5">
      <c r="H303" s="13"/>
    </row>
    <row r="304" spans="4:8" ht="16.5">
      <c r="E304" s="116"/>
      <c r="H304" s="117"/>
    </row>
    <row r="305" spans="5:8" ht="16.5">
      <c r="E305" s="116"/>
      <c r="H305" s="117"/>
    </row>
    <row r="306" spans="5:8" ht="16.5">
      <c r="E306" s="116"/>
      <c r="G306" s="116"/>
      <c r="H306" s="117"/>
    </row>
    <row r="307" spans="5:8" ht="16.5">
      <c r="E307" s="116"/>
      <c r="G307" s="116"/>
      <c r="H307" s="117"/>
    </row>
    <row r="308" spans="5:8" ht="16.5">
      <c r="E308" s="116"/>
      <c r="G308" s="116"/>
      <c r="H308" s="117"/>
    </row>
    <row r="309" spans="5:8" ht="16.5">
      <c r="E309" s="116"/>
      <c r="G309" s="116"/>
      <c r="H309" s="117"/>
    </row>
    <row r="310" spans="5:8" ht="16.5">
      <c r="H310" s="13"/>
    </row>
    <row r="311" spans="5:8" ht="16.5">
      <c r="H311" s="13"/>
    </row>
    <row r="312" spans="5:8" ht="16.5">
      <c r="H312" s="13"/>
    </row>
    <row r="313" spans="5:8" ht="16.5">
      <c r="H313" s="13"/>
    </row>
    <row r="314" spans="5:8" ht="16.5">
      <c r="H314" s="13"/>
    </row>
    <row r="315" spans="5:8" ht="16.5">
      <c r="H315" s="13"/>
    </row>
    <row r="316" spans="5:8" ht="16.5">
      <c r="E316" s="116"/>
      <c r="G316" s="116"/>
      <c r="H316" s="117"/>
    </row>
    <row r="317" spans="5:8" ht="16.5">
      <c r="E317" s="116"/>
      <c r="G317" s="116"/>
      <c r="H317" s="117"/>
    </row>
    <row r="318" spans="5:8" ht="16.5">
      <c r="E318" s="116"/>
      <c r="G318" s="116"/>
      <c r="H318" s="117"/>
    </row>
    <row r="319" spans="5:8" ht="16.5">
      <c r="E319" s="116"/>
      <c r="G319" s="116"/>
      <c r="H319" s="117"/>
    </row>
    <row r="320" spans="5:8" ht="16.5">
      <c r="E320" s="116"/>
      <c r="G320" s="116"/>
      <c r="H320" s="117"/>
    </row>
    <row r="321" spans="4:8" ht="16.5">
      <c r="E321" s="116"/>
      <c r="G321" s="116"/>
      <c r="H321" s="117"/>
    </row>
    <row r="324" spans="4:8" ht="16.5">
      <c r="D324" s="13" t="s">
        <v>528</v>
      </c>
    </row>
    <row r="334" spans="4:8" ht="16.5">
      <c r="D334" s="13" t="s">
        <v>739</v>
      </c>
      <c r="H334" s="117"/>
    </row>
    <row r="335" spans="4:8" ht="16.5">
      <c r="D335" s="13" t="s">
        <v>740</v>
      </c>
      <c r="H335" s="119"/>
    </row>
    <row r="336" spans="4:8" ht="16.5">
      <c r="D336" s="13" t="s">
        <v>741</v>
      </c>
      <c r="H336" s="8">
        <v>524288</v>
      </c>
    </row>
    <row r="337" spans="4:8" ht="16.5">
      <c r="D337" s="13" t="s">
        <v>742</v>
      </c>
    </row>
    <row r="338" spans="4:8" ht="16.5">
      <c r="D338" s="13" t="s">
        <v>743</v>
      </c>
    </row>
    <row r="339" spans="4:8" ht="16.5">
      <c r="D339" s="13" t="s">
        <v>744</v>
      </c>
    </row>
    <row r="340" spans="4:8" ht="16.5">
      <c r="G340" s="120"/>
      <c r="H340" s="121"/>
    </row>
    <row r="341" spans="4:8" ht="16.5">
      <c r="G341" s="120"/>
      <c r="H341" s="121"/>
    </row>
    <row r="342" spans="4:8" ht="16.5">
      <c r="G342" s="120"/>
      <c r="H342" s="121"/>
    </row>
    <row r="343" spans="4:8" ht="16.5">
      <c r="H343" s="121"/>
    </row>
    <row r="344" spans="4:8" ht="16.5">
      <c r="H344" s="121"/>
    </row>
    <row r="345" spans="4:8" ht="16.5">
      <c r="H345" s="121"/>
    </row>
  </sheetData>
  <mergeCells count="18">
    <mergeCell ref="G4:U7"/>
    <mergeCell ref="E12:X17"/>
    <mergeCell ref="F22:K24"/>
    <mergeCell ref="L22:V24"/>
    <mergeCell ref="F25:K27"/>
    <mergeCell ref="L25:V27"/>
    <mergeCell ref="F28:K30"/>
    <mergeCell ref="L28:V30"/>
    <mergeCell ref="F31:K33"/>
    <mergeCell ref="L31:V33"/>
    <mergeCell ref="F34:K36"/>
    <mergeCell ref="L34:V36"/>
    <mergeCell ref="F37:K39"/>
    <mergeCell ref="L37:V39"/>
    <mergeCell ref="F40:K42"/>
    <mergeCell ref="L40:V42"/>
    <mergeCell ref="F43:K45"/>
    <mergeCell ref="L43:V45"/>
  </mergeCells>
  <phoneticPr fontId="41" type="noConversion"/>
  <printOptions horizontalCentered="1" verticalCentered="1"/>
  <pageMargins left="0.196527777777778" right="0.196527777777778" top="0.39374999999999999" bottom="0.23611111111111099" header="0.511811023622047" footer="0.196527777777778"/>
  <pageSetup paperSize="9" scale="61" fitToHeight="0" orientation="landscape" horizontalDpi="300" verticalDpi="300" r:id="rId1"/>
  <headerFooter>
    <oddFooter>&amp;R&amp;6Manufacturing Center 2026-Q1-Rev.0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BQDAABQSwMEFAACAAgAOXdNVuS3GBOkAAAA9gAAABIAHABDb25maWcvUGFja2FnZS54bWwgohgAKKAUAAAAAAAAAAAAAAAAAAAAAAAAAAAAhY89DoIwAIWvQrrTP2JiSCmDo5IYTYxrUyo0QGtosdzNwSN5BTGKujm+733De/frjeVj10YX1TttTQYIxCBSRtpSmyoDgz/FS5BzthWyEZWKJtm4dHRlBmrvzylCIQQYEmj7ClGMCToWm72sVSfAR9b/5Vgb54WRCnB2eI3hFBJC4YImEDM0Q1Zo8xXotPfZ/kC2Glo/9Io3Nl7vGJojQ+8P/AFQSwMEFAACAAgAOXdNVg/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Dl3TVYoike4DgAAABEAAAATABwARm9ybXVsYXMvU2VjdGlvbjEubSCiGAAooBQAAAAAAAAAAAAAAAAAAAAAAAAAAAArTk0uyczPUwiG0IbWAFBLAQItABQAAgAIADl3TVbktxgTpAAAAPYAAAASAAAAAAAAAAAAAAAAAAAAAABDb25maWcvUGFja2FnZS54bWxQSwECLQAUAAIACAA5d01WD8rpq6QAAADpAAAAEwAAAAAAAAAAAAAAAADwAAAAW0NvbnRlbnRfVHlwZXNdLnhtbFBLAQItABQAAgAIADl3TVYoike4DgAAABEAAAATAAAAAAAAAAAAAAAAAOEBAABGb3JtdWxhcy9TZWN0aW9uMS5tUEsFBgAAAAADAAMAwgAAADwCAAAAABABAADvu788P3htbCB2ZXJzaW9uPSIxLjAiIGVuY29kaW5nPSJ1dGYtOCI/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+7vzw/eG1sIHZlcnNpb249IjEuMCIgZW5jb2Rpbmc9InV0Zi04Ij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CAlgnytUX7Qq9l6t/UQfdOAAAAAAIAAAAAABBmAAAAAQAAIAAAAGm2bITloQlfYoW1CY0ae/jSB5YHNolo98c2+KNuRX6UAAAAAA6AAAAAAgAAIAAAAKAYeDNUSfvapK+X0lsOI3RwVCrR0ydNoDvjRyHW6Y3fUAAAAMSItmi8yhql3I8GFEm8FierI5sbRIW3lHl50+a/6EQr9oBurvfpnwd4oj0dJubs6kq28EMV0lEvM9AzAOpEahSzALiwMXJVMAiBElPz0ZKgQAAAAJzL/0kI+GZy31Ms6r/LVhp2PORyk0lu+sJINE90KxvRHy1JII8bMdTSyoRc0uO9uc+R7jB0jjqxYqz2v55hSvU=</DataMashup>
</file>

<file path=customXml/itemProps1.xml><?xml version="1.0" encoding="utf-8"?>
<ds:datastoreItem xmlns:ds="http://schemas.openxmlformats.org/officeDocument/2006/customXml" ds:itemID="{49D0DCC2-C77F-4958-9A57-D9F4A65B56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16990</TotalTime>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표지</vt:lpstr>
      <vt:lpstr>통합_(NX-Wafer 200mm)</vt:lpstr>
      <vt:lpstr>Last</vt:lpstr>
      <vt:lpstr>Last!Print_Area</vt:lpstr>
      <vt:lpstr>'통합_(NX-Wafer 200mm)'!Print_Area</vt:lpstr>
      <vt:lpstr>표지!Print_Area</vt:lpstr>
      <vt:lpstr>'통합_(NX-Wafer 200mm)'!Print_Titles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Soon Jang</dc:creator>
  <dc:description/>
  <cp:lastModifiedBy>백광림 (Levi Beak)</cp:lastModifiedBy>
  <cp:revision>76</cp:revision>
  <cp:lastPrinted>2026-03-09T00:51:58Z</cp:lastPrinted>
  <dcterms:created xsi:type="dcterms:W3CDTF">2023-01-27T02:07:50Z</dcterms:created>
  <dcterms:modified xsi:type="dcterms:W3CDTF">2026-03-16T04:37:11Z</dcterms:modified>
  <dc:language>en-US</dc:language>
</cp:coreProperties>
</file>